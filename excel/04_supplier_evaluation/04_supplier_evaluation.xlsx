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c832e410b044d57/Documents/data_analysis_projects/excel/04_supplier_evaluation/"/>
    </mc:Choice>
  </mc:AlternateContent>
  <xr:revisionPtr revIDLastSave="340" documentId="11_C24A40B9DC05913DA6F65445B1759392D2C57E61" xr6:coauthVersionLast="47" xr6:coauthVersionMax="47" xr10:uidLastSave="{C8B6B093-EC55-460F-964C-210A71D234CE}"/>
  <bookViews>
    <workbookView xWindow="-108" yWindow="-108" windowWidth="23256" windowHeight="12456" activeTab="4" xr2:uid="{00000000-000D-0000-FFFF-FFFF00000000}"/>
  </bookViews>
  <sheets>
    <sheet name="Raw Data - Suppliers" sheetId="2" r:id="rId1"/>
    <sheet name="Normalized Data" sheetId="3" r:id="rId2"/>
    <sheet name="Weights" sheetId="4" r:id="rId3"/>
    <sheet name="Scoring" sheetId="5" r:id="rId4"/>
    <sheet name="Dashboard" sheetId="6" r:id="rId5"/>
  </sheets>
  <definedNames>
    <definedName name="_xlnm._FilterDatabase" localSheetId="1" hidden="1">'Normalized Data'!$A$1:$M$36</definedName>
    <definedName name="_xlnm._FilterDatabase" localSheetId="3" hidden="1">Scoring!$A$1:$H$36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6" l="1"/>
  <c r="D33" i="6" s="1"/>
  <c r="B32" i="6"/>
  <c r="B31" i="6"/>
  <c r="B30" i="6"/>
  <c r="H30" i="6" s="1"/>
  <c r="B29" i="6"/>
  <c r="I29" i="6" s="1"/>
  <c r="B28" i="6"/>
  <c r="H28" i="6" s="1"/>
  <c r="I33" i="6"/>
  <c r="B27" i="6"/>
  <c r="L29" i="6"/>
  <c r="L31" i="6"/>
  <c r="L32" i="6"/>
  <c r="L33" i="6"/>
  <c r="L27" i="6"/>
  <c r="I30" i="6"/>
  <c r="I31" i="6"/>
  <c r="I32" i="6"/>
  <c r="I27" i="6"/>
  <c r="H31" i="6"/>
  <c r="H32" i="6"/>
  <c r="H33" i="6"/>
  <c r="H27" i="6"/>
  <c r="E28" i="6"/>
  <c r="E31" i="6"/>
  <c r="E32" i="6"/>
  <c r="E27" i="6"/>
  <c r="D28" i="6"/>
  <c r="D29" i="6"/>
  <c r="D31" i="6"/>
  <c r="D32" i="6"/>
  <c r="D27" i="6"/>
  <c r="B26" i="6"/>
  <c r="G13" i="6"/>
  <c r="J13" i="6" s="1"/>
  <c r="G14" i="6"/>
  <c r="J14" i="6" s="1"/>
  <c r="G15" i="6"/>
  <c r="J15" i="6" s="1"/>
  <c r="G16" i="6"/>
  <c r="J16" i="6" s="1"/>
  <c r="G17" i="6"/>
  <c r="J17" i="6" s="1"/>
  <c r="G18" i="6"/>
  <c r="J18" i="6" s="1"/>
  <c r="G19" i="6"/>
  <c r="J19" i="6" s="1"/>
  <c r="G20" i="6"/>
  <c r="J20" i="6" s="1"/>
  <c r="G21" i="6"/>
  <c r="J21" i="6" s="1"/>
  <c r="G22" i="6"/>
  <c r="J22" i="6" s="1"/>
  <c r="G23" i="6"/>
  <c r="J23" i="6" s="1"/>
  <c r="G12" i="6"/>
  <c r="J12" i="6" s="1"/>
  <c r="B13" i="6"/>
  <c r="B14" i="6"/>
  <c r="B15" i="6"/>
  <c r="B16" i="6"/>
  <c r="B17" i="6"/>
  <c r="B18" i="6"/>
  <c r="B19" i="6"/>
  <c r="B20" i="6"/>
  <c r="B21" i="6"/>
  <c r="B22" i="6"/>
  <c r="B23" i="6"/>
  <c r="B12" i="6"/>
  <c r="H36" i="5"/>
  <c r="H23" i="5"/>
  <c r="H11" i="5"/>
  <c r="H32" i="5"/>
  <c r="H26" i="5"/>
  <c r="H35" i="5"/>
  <c r="H28" i="5"/>
  <c r="H2" i="5"/>
  <c r="H15" i="5"/>
  <c r="H9" i="5"/>
  <c r="H30" i="5"/>
  <c r="H7" i="5"/>
  <c r="H4" i="5"/>
  <c r="H14" i="5"/>
  <c r="H8" i="5"/>
  <c r="H18" i="5"/>
  <c r="H29" i="5"/>
  <c r="H24" i="5"/>
  <c r="H12" i="5"/>
  <c r="H16" i="5"/>
  <c r="H19" i="5"/>
  <c r="H13" i="5"/>
  <c r="H3" i="5"/>
  <c r="H6" i="5"/>
  <c r="H10" i="5"/>
  <c r="H5" i="5"/>
  <c r="H17" i="5"/>
  <c r="H21" i="5"/>
  <c r="H31" i="5"/>
  <c r="H33" i="5"/>
  <c r="H34" i="5"/>
  <c r="H20" i="5"/>
  <c r="H22" i="5"/>
  <c r="H25" i="5"/>
  <c r="H27" i="5"/>
  <c r="G36" i="5"/>
  <c r="G23" i="5"/>
  <c r="G11" i="5"/>
  <c r="G32" i="5"/>
  <c r="G26" i="5"/>
  <c r="G35" i="5"/>
  <c r="G28" i="5"/>
  <c r="G2" i="5"/>
  <c r="G15" i="5"/>
  <c r="G9" i="5"/>
  <c r="G30" i="5"/>
  <c r="G7" i="5"/>
  <c r="G4" i="5"/>
  <c r="G14" i="5"/>
  <c r="G8" i="5"/>
  <c r="G18" i="5"/>
  <c r="G29" i="5"/>
  <c r="G24" i="5"/>
  <c r="G12" i="5"/>
  <c r="G16" i="5"/>
  <c r="G19" i="5"/>
  <c r="G13" i="5"/>
  <c r="G3" i="5"/>
  <c r="G6" i="5"/>
  <c r="G10" i="5"/>
  <c r="G5" i="5"/>
  <c r="G17" i="5"/>
  <c r="G21" i="5"/>
  <c r="G31" i="5"/>
  <c r="G33" i="5"/>
  <c r="G34" i="5"/>
  <c r="G20" i="5"/>
  <c r="G22" i="5"/>
  <c r="G25" i="5"/>
  <c r="G27" i="5"/>
  <c r="F36" i="5"/>
  <c r="F23" i="5"/>
  <c r="F11" i="5"/>
  <c r="F32" i="5"/>
  <c r="F26" i="5"/>
  <c r="F35" i="5"/>
  <c r="F28" i="5"/>
  <c r="F2" i="5"/>
  <c r="F15" i="5"/>
  <c r="F9" i="5"/>
  <c r="F30" i="5"/>
  <c r="F7" i="5"/>
  <c r="F4" i="5"/>
  <c r="F14" i="5"/>
  <c r="F8" i="5"/>
  <c r="F18" i="5"/>
  <c r="F29" i="5"/>
  <c r="F24" i="5"/>
  <c r="F12" i="5"/>
  <c r="F16" i="5"/>
  <c r="F19" i="5"/>
  <c r="F13" i="5"/>
  <c r="F3" i="5"/>
  <c r="F6" i="5"/>
  <c r="F10" i="5"/>
  <c r="F5" i="5"/>
  <c r="F17" i="5"/>
  <c r="F21" i="5"/>
  <c r="F31" i="5"/>
  <c r="F33" i="5"/>
  <c r="F34" i="5"/>
  <c r="F20" i="5"/>
  <c r="F22" i="5"/>
  <c r="F25" i="5"/>
  <c r="F27" i="5"/>
  <c r="E11" i="5"/>
  <c r="E32" i="5"/>
  <c r="E26" i="5"/>
  <c r="E35" i="5"/>
  <c r="E28" i="5"/>
  <c r="E2" i="5"/>
  <c r="E15" i="5"/>
  <c r="E9" i="5"/>
  <c r="E30" i="5"/>
  <c r="E7" i="5"/>
  <c r="E4" i="5"/>
  <c r="E14" i="5"/>
  <c r="E8" i="5"/>
  <c r="E18" i="5"/>
  <c r="E29" i="5"/>
  <c r="E24" i="5"/>
  <c r="E12" i="5"/>
  <c r="E16" i="5"/>
  <c r="E19" i="5"/>
  <c r="E13" i="5"/>
  <c r="E3" i="5"/>
  <c r="E6" i="5"/>
  <c r="E10" i="5"/>
  <c r="E5" i="5"/>
  <c r="E17" i="5"/>
  <c r="E21" i="5"/>
  <c r="E31" i="5"/>
  <c r="E33" i="5"/>
  <c r="E34" i="5"/>
  <c r="E20" i="5"/>
  <c r="E22" i="5"/>
  <c r="E25" i="5"/>
  <c r="E36" i="5"/>
  <c r="E23" i="5"/>
  <c r="E27" i="5"/>
  <c r="L28" i="6" l="1"/>
  <c r="D30" i="6"/>
  <c r="I28" i="6"/>
  <c r="L30" i="6"/>
  <c r="E30" i="6"/>
  <c r="E29" i="6"/>
  <c r="H29" i="6"/>
  <c r="E33" i="6"/>
  <c r="B36" i="5" a="1"/>
  <c r="B36" i="5" s="1"/>
  <c r="B23" i="5" a="1"/>
  <c r="B23" i="5" s="1"/>
  <c r="B11" i="5" a="1"/>
  <c r="B11" i="5" s="1"/>
  <c r="B32" i="5" a="1"/>
  <c r="B32" i="5" s="1"/>
  <c r="B26" i="5" a="1"/>
  <c r="B26" i="5" s="1"/>
  <c r="B35" i="5" a="1"/>
  <c r="B35" i="5" s="1"/>
  <c r="B28" i="5" a="1"/>
  <c r="B28" i="5" s="1"/>
  <c r="B2" i="5" a="1"/>
  <c r="B2" i="5" s="1"/>
  <c r="B15" i="5" a="1"/>
  <c r="B15" i="5" s="1"/>
  <c r="B9" i="5" a="1"/>
  <c r="B9" i="5" s="1"/>
  <c r="B30" i="5" a="1"/>
  <c r="B30" i="5" s="1"/>
  <c r="B7" i="5" a="1"/>
  <c r="B7" i="5" s="1"/>
  <c r="B4" i="5" a="1"/>
  <c r="B4" i="5" s="1"/>
  <c r="B14" i="5" a="1"/>
  <c r="B14" i="5" s="1"/>
  <c r="B8" i="5" a="1"/>
  <c r="B8" i="5" s="1"/>
  <c r="B18" i="5" a="1"/>
  <c r="B18" i="5" s="1"/>
  <c r="B29" i="5" a="1"/>
  <c r="B29" i="5" s="1"/>
  <c r="B24" i="5" a="1"/>
  <c r="B24" i="5" s="1"/>
  <c r="B12" i="5" a="1"/>
  <c r="B12" i="5" s="1"/>
  <c r="B16" i="5" a="1"/>
  <c r="B16" i="5" s="1"/>
  <c r="B19" i="5" a="1"/>
  <c r="B19" i="5" s="1"/>
  <c r="B13" i="5" a="1"/>
  <c r="B13" i="5" s="1"/>
  <c r="B3" i="5" a="1"/>
  <c r="B3" i="5"/>
  <c r="B6" i="5" a="1"/>
  <c r="B6" i="5" s="1"/>
  <c r="B10" i="5" a="1"/>
  <c r="B10" i="5" s="1"/>
  <c r="B5" i="5" a="1"/>
  <c r="B5" i="5" s="1"/>
  <c r="B17" i="5" a="1"/>
  <c r="B17" i="5"/>
  <c r="B21" i="5" a="1"/>
  <c r="B21" i="5" s="1"/>
  <c r="B31" i="5" a="1"/>
  <c r="B31" i="5" s="1"/>
  <c r="B33" i="5" a="1"/>
  <c r="B33" i="5" s="1"/>
  <c r="B34" i="5" a="1"/>
  <c r="B34" i="5" s="1"/>
  <c r="B20" i="5" a="1"/>
  <c r="B20" i="5" s="1"/>
  <c r="B22" i="5" a="1"/>
  <c r="B22" i="5" s="1"/>
  <c r="B25" i="5" a="1"/>
  <c r="B25" i="5" s="1"/>
  <c r="B27" i="5" a="1"/>
  <c r="B27" i="5" s="1"/>
  <c r="A36" i="5"/>
  <c r="A23" i="5"/>
  <c r="A11" i="5"/>
  <c r="A32" i="5"/>
  <c r="A26" i="5"/>
  <c r="A35" i="5"/>
  <c r="A28" i="5"/>
  <c r="A2" i="5"/>
  <c r="A15" i="5"/>
  <c r="A9" i="5"/>
  <c r="A30" i="5"/>
  <c r="A7" i="5"/>
  <c r="A4" i="5"/>
  <c r="A14" i="5"/>
  <c r="A8" i="5"/>
  <c r="A18" i="5"/>
  <c r="A29" i="5"/>
  <c r="A24" i="5"/>
  <c r="A12" i="5"/>
  <c r="A16" i="5"/>
  <c r="A19" i="5"/>
  <c r="A13" i="5"/>
  <c r="A3" i="5"/>
  <c r="A6" i="5"/>
  <c r="A10" i="5"/>
  <c r="A5" i="5"/>
  <c r="A17" i="5"/>
  <c r="A21" i="5"/>
  <c r="A31" i="5"/>
  <c r="A33" i="5"/>
  <c r="A34" i="5"/>
  <c r="A20" i="5"/>
  <c r="A22" i="5"/>
  <c r="A25" i="5"/>
  <c r="A27" i="5"/>
  <c r="B14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M2" i="3"/>
  <c r="K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B3" i="3"/>
  <c r="C3" i="3"/>
  <c r="D3" i="3"/>
  <c r="E3" i="3"/>
  <c r="F3" i="3"/>
  <c r="G3" i="3"/>
  <c r="H3" i="3"/>
  <c r="I3" i="3"/>
  <c r="J3" i="3"/>
  <c r="B4" i="3"/>
  <c r="C4" i="3"/>
  <c r="D4" i="3"/>
  <c r="E4" i="3"/>
  <c r="F4" i="3"/>
  <c r="G4" i="3"/>
  <c r="H4" i="3"/>
  <c r="I4" i="3"/>
  <c r="J4" i="3"/>
  <c r="B5" i="3"/>
  <c r="C5" i="3"/>
  <c r="D5" i="3"/>
  <c r="E5" i="3"/>
  <c r="F5" i="3"/>
  <c r="G5" i="3"/>
  <c r="H5" i="3"/>
  <c r="I5" i="3"/>
  <c r="J5" i="3"/>
  <c r="B6" i="3"/>
  <c r="C6" i="3"/>
  <c r="D6" i="3"/>
  <c r="E6" i="3"/>
  <c r="F6" i="3"/>
  <c r="G6" i="3"/>
  <c r="H6" i="3"/>
  <c r="I6" i="3"/>
  <c r="J6" i="3"/>
  <c r="B7" i="3"/>
  <c r="C7" i="3"/>
  <c r="D7" i="3"/>
  <c r="E7" i="3"/>
  <c r="F7" i="3"/>
  <c r="G7" i="3"/>
  <c r="H7" i="3"/>
  <c r="I7" i="3"/>
  <c r="J7" i="3"/>
  <c r="B8" i="3"/>
  <c r="C8" i="3"/>
  <c r="D8" i="3"/>
  <c r="E8" i="3"/>
  <c r="F8" i="3"/>
  <c r="G8" i="3"/>
  <c r="H8" i="3"/>
  <c r="I8" i="3"/>
  <c r="J8" i="3"/>
  <c r="B9" i="3"/>
  <c r="C9" i="3"/>
  <c r="D9" i="3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B11" i="3"/>
  <c r="C11" i="3"/>
  <c r="D11" i="3"/>
  <c r="E11" i="3"/>
  <c r="F11" i="3"/>
  <c r="G11" i="3"/>
  <c r="H11" i="3"/>
  <c r="I11" i="3"/>
  <c r="J11" i="3"/>
  <c r="B12" i="3"/>
  <c r="C12" i="3"/>
  <c r="D12" i="3"/>
  <c r="E12" i="3"/>
  <c r="F12" i="3"/>
  <c r="G12" i="3"/>
  <c r="H12" i="3"/>
  <c r="I12" i="3"/>
  <c r="J12" i="3"/>
  <c r="B13" i="3"/>
  <c r="C13" i="3"/>
  <c r="D13" i="3"/>
  <c r="E13" i="3"/>
  <c r="F13" i="3"/>
  <c r="G13" i="3"/>
  <c r="H13" i="3"/>
  <c r="I13" i="3"/>
  <c r="J13" i="3"/>
  <c r="B14" i="3"/>
  <c r="C14" i="3"/>
  <c r="D14" i="3"/>
  <c r="E14" i="3"/>
  <c r="F14" i="3"/>
  <c r="G14" i="3"/>
  <c r="H14" i="3"/>
  <c r="I14" i="3"/>
  <c r="J14" i="3"/>
  <c r="B15" i="3"/>
  <c r="C15" i="3"/>
  <c r="D15" i="3"/>
  <c r="E15" i="3"/>
  <c r="F15" i="3"/>
  <c r="G15" i="3"/>
  <c r="H15" i="3"/>
  <c r="I15" i="3"/>
  <c r="J15" i="3"/>
  <c r="B16" i="3"/>
  <c r="C16" i="3"/>
  <c r="D16" i="3"/>
  <c r="E16" i="3"/>
  <c r="F16" i="3"/>
  <c r="G16" i="3"/>
  <c r="H16" i="3"/>
  <c r="I16" i="3"/>
  <c r="J16" i="3"/>
  <c r="B17" i="3"/>
  <c r="C17" i="3"/>
  <c r="D17" i="3"/>
  <c r="E17" i="3"/>
  <c r="F17" i="3"/>
  <c r="G17" i="3"/>
  <c r="H17" i="3"/>
  <c r="I17" i="3"/>
  <c r="J17" i="3"/>
  <c r="B18" i="3"/>
  <c r="C18" i="3"/>
  <c r="D18" i="3"/>
  <c r="E18" i="3"/>
  <c r="F18" i="3"/>
  <c r="G18" i="3"/>
  <c r="H18" i="3"/>
  <c r="I18" i="3"/>
  <c r="J18" i="3"/>
  <c r="B19" i="3"/>
  <c r="C19" i="3"/>
  <c r="D19" i="3"/>
  <c r="E19" i="3"/>
  <c r="F19" i="3"/>
  <c r="G19" i="3"/>
  <c r="H19" i="3"/>
  <c r="I19" i="3"/>
  <c r="J19" i="3"/>
  <c r="B20" i="3"/>
  <c r="C20" i="3"/>
  <c r="D20" i="3"/>
  <c r="E20" i="3"/>
  <c r="F20" i="3"/>
  <c r="G20" i="3"/>
  <c r="H20" i="3"/>
  <c r="I20" i="3"/>
  <c r="J20" i="3"/>
  <c r="B21" i="3"/>
  <c r="C21" i="3"/>
  <c r="D21" i="3"/>
  <c r="E21" i="3"/>
  <c r="F21" i="3"/>
  <c r="G21" i="3"/>
  <c r="H21" i="3"/>
  <c r="I21" i="3"/>
  <c r="J21" i="3"/>
  <c r="B22" i="3"/>
  <c r="C22" i="3"/>
  <c r="D22" i="3"/>
  <c r="E22" i="3"/>
  <c r="F22" i="3"/>
  <c r="G22" i="3"/>
  <c r="H22" i="3"/>
  <c r="I22" i="3"/>
  <c r="J22" i="3"/>
  <c r="B23" i="3"/>
  <c r="C23" i="3"/>
  <c r="D23" i="3"/>
  <c r="E23" i="3"/>
  <c r="F23" i="3"/>
  <c r="G23" i="3"/>
  <c r="H23" i="3"/>
  <c r="I23" i="3"/>
  <c r="J23" i="3"/>
  <c r="B24" i="3"/>
  <c r="C24" i="3"/>
  <c r="D24" i="3"/>
  <c r="E24" i="3"/>
  <c r="F24" i="3"/>
  <c r="G24" i="3"/>
  <c r="H24" i="3"/>
  <c r="I24" i="3"/>
  <c r="J24" i="3"/>
  <c r="B25" i="3"/>
  <c r="C25" i="3"/>
  <c r="D25" i="3"/>
  <c r="E25" i="3"/>
  <c r="F25" i="3"/>
  <c r="G25" i="3"/>
  <c r="H25" i="3"/>
  <c r="I25" i="3"/>
  <c r="J25" i="3"/>
  <c r="B26" i="3"/>
  <c r="C26" i="3"/>
  <c r="D26" i="3"/>
  <c r="E26" i="3"/>
  <c r="F26" i="3"/>
  <c r="G26" i="3"/>
  <c r="H26" i="3"/>
  <c r="I26" i="3"/>
  <c r="J26" i="3"/>
  <c r="B27" i="3"/>
  <c r="C27" i="3"/>
  <c r="D27" i="3"/>
  <c r="E27" i="3"/>
  <c r="F27" i="3"/>
  <c r="G27" i="3"/>
  <c r="H27" i="3"/>
  <c r="I27" i="3"/>
  <c r="J27" i="3"/>
  <c r="B28" i="3"/>
  <c r="C28" i="3"/>
  <c r="D28" i="3"/>
  <c r="E28" i="3"/>
  <c r="F28" i="3"/>
  <c r="G28" i="3"/>
  <c r="H28" i="3"/>
  <c r="I28" i="3"/>
  <c r="J28" i="3"/>
  <c r="B29" i="3"/>
  <c r="C29" i="3"/>
  <c r="D29" i="3"/>
  <c r="E29" i="3"/>
  <c r="F29" i="3"/>
  <c r="G29" i="3"/>
  <c r="H29" i="3"/>
  <c r="I29" i="3"/>
  <c r="J29" i="3"/>
  <c r="B30" i="3"/>
  <c r="C30" i="3"/>
  <c r="D30" i="3"/>
  <c r="E30" i="3"/>
  <c r="F30" i="3"/>
  <c r="G30" i="3"/>
  <c r="H30" i="3"/>
  <c r="I30" i="3"/>
  <c r="J30" i="3"/>
  <c r="B31" i="3"/>
  <c r="C31" i="3"/>
  <c r="D31" i="3"/>
  <c r="E31" i="3"/>
  <c r="F31" i="3"/>
  <c r="G31" i="3"/>
  <c r="H31" i="3"/>
  <c r="I31" i="3"/>
  <c r="J31" i="3"/>
  <c r="B32" i="3"/>
  <c r="C32" i="3"/>
  <c r="D32" i="3"/>
  <c r="E32" i="3"/>
  <c r="F32" i="3"/>
  <c r="G32" i="3"/>
  <c r="H32" i="3"/>
  <c r="I32" i="3"/>
  <c r="J32" i="3"/>
  <c r="B33" i="3"/>
  <c r="C33" i="3"/>
  <c r="D33" i="3"/>
  <c r="E33" i="3"/>
  <c r="F33" i="3"/>
  <c r="G33" i="3"/>
  <c r="H33" i="3"/>
  <c r="I33" i="3"/>
  <c r="J33" i="3"/>
  <c r="B34" i="3"/>
  <c r="C34" i="3"/>
  <c r="D34" i="3"/>
  <c r="E34" i="3"/>
  <c r="F34" i="3"/>
  <c r="G34" i="3"/>
  <c r="H34" i="3"/>
  <c r="I34" i="3"/>
  <c r="J34" i="3"/>
  <c r="B35" i="3"/>
  <c r="C35" i="3"/>
  <c r="D35" i="3"/>
  <c r="E35" i="3"/>
  <c r="F35" i="3"/>
  <c r="G35" i="3"/>
  <c r="H35" i="3"/>
  <c r="I35" i="3"/>
  <c r="J35" i="3"/>
  <c r="B36" i="3"/>
  <c r="C36" i="3"/>
  <c r="D36" i="3"/>
  <c r="E36" i="3"/>
  <c r="F36" i="3"/>
  <c r="G36" i="3"/>
  <c r="H36" i="3"/>
  <c r="I36" i="3"/>
  <c r="J36" i="3"/>
  <c r="L2" i="3"/>
  <c r="C2" i="3"/>
  <c r="D2" i="3"/>
  <c r="E2" i="3"/>
  <c r="F2" i="3"/>
  <c r="G2" i="3"/>
  <c r="H2" i="3"/>
  <c r="I2" i="3"/>
  <c r="J2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2" i="3"/>
  <c r="C4" i="5" l="1"/>
  <c r="D4" i="5" s="1"/>
  <c r="C27" i="5"/>
  <c r="D27" i="5" s="1"/>
  <c r="C21" i="5"/>
  <c r="D21" i="5" s="1"/>
  <c r="C16" i="5"/>
  <c r="D16" i="5" s="1"/>
  <c r="C25" i="5"/>
  <c r="D25" i="5" s="1"/>
  <c r="C26" i="5"/>
  <c r="D26" i="5" s="1"/>
  <c r="C12" i="5"/>
  <c r="D12" i="5" s="1"/>
  <c r="C17" i="5"/>
  <c r="D17" i="5" s="1"/>
  <c r="C7" i="5"/>
  <c r="D7" i="5" s="1"/>
  <c r="C29" i="5"/>
  <c r="D29" i="5" s="1"/>
  <c r="C35" i="5"/>
  <c r="D35" i="5" s="1"/>
  <c r="C33" i="5"/>
  <c r="D33" i="5" s="1"/>
  <c r="C3" i="5"/>
  <c r="D3" i="5" s="1"/>
  <c r="C2" i="5"/>
  <c r="D2" i="5" s="1"/>
  <c r="C19" i="5"/>
  <c r="D19" i="5" s="1"/>
  <c r="C30" i="5"/>
  <c r="D30" i="5" s="1"/>
  <c r="C32" i="5"/>
  <c r="D32" i="5" s="1"/>
  <c r="C34" i="5"/>
  <c r="D34" i="5" s="1"/>
  <c r="C10" i="5"/>
  <c r="D10" i="5" s="1"/>
  <c r="C24" i="5"/>
  <c r="D24" i="5" s="1"/>
  <c r="C9" i="5"/>
  <c r="D9" i="5" s="1"/>
  <c r="C11" i="5"/>
  <c r="D11" i="5" s="1"/>
  <c r="C23" i="5"/>
  <c r="D23" i="5" s="1"/>
  <c r="C8" i="5"/>
  <c r="D8" i="5" s="1"/>
  <c r="K6" i="6" s="1"/>
  <c r="C28" i="5"/>
  <c r="D28" i="5" s="1"/>
  <c r="C36" i="5"/>
  <c r="D36" i="5" s="1"/>
  <c r="C13" i="5"/>
  <c r="D13" i="5" s="1"/>
  <c r="C14" i="5"/>
  <c r="D14" i="5" s="1"/>
  <c r="C31" i="5"/>
  <c r="D31" i="5" s="1"/>
  <c r="C22" i="5"/>
  <c r="D22" i="5" s="1"/>
  <c r="C5" i="5"/>
  <c r="D5" i="5" s="1"/>
  <c r="H6" i="6" s="1"/>
  <c r="C15" i="5"/>
  <c r="D15" i="5" s="1"/>
  <c r="C20" i="5"/>
  <c r="D20" i="5" s="1"/>
  <c r="C6" i="5"/>
  <c r="D6" i="5" s="1"/>
  <c r="C18" i="5"/>
  <c r="D18" i="5" s="1"/>
  <c r="B6" i="6"/>
  <c r="E6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<sst xmlns="http://schemas.openxmlformats.org/spreadsheetml/2006/main" count="82" uniqueCount="60">
  <si>
    <t>quality</t>
  </si>
  <si>
    <t>quantity</t>
  </si>
  <si>
    <t>conditions and method of payment</t>
  </si>
  <si>
    <t>serviceability and communicativeness of the supplier</t>
  </si>
  <si>
    <t>reputation of the supplier and its competence</t>
  </si>
  <si>
    <t>flexibility</t>
  </si>
  <si>
    <t>financial condition of the supplier</t>
  </si>
  <si>
    <t>condition of the supplier's assets</t>
  </si>
  <si>
    <t>business results and number of employees</t>
  </si>
  <si>
    <t>price</t>
  </si>
  <si>
    <t>delivery time</t>
  </si>
  <si>
    <t>supplier's location and traffic connections</t>
  </si>
  <si>
    <t>supplier</t>
  </si>
  <si>
    <t>Weight</t>
  </si>
  <si>
    <t>Justification</t>
  </si>
  <si>
    <t>Product conformance</t>
  </si>
  <si>
    <t>Supply capacity</t>
  </si>
  <si>
    <t>Cash flow impact</t>
  </si>
  <si>
    <t>serviceability and communicativeness</t>
  </si>
  <si>
    <t>Operational support</t>
  </si>
  <si>
    <t>reputation and competence</t>
  </si>
  <si>
    <t>Long-term reliability</t>
  </si>
  <si>
    <t>Supply chain resilience</t>
  </si>
  <si>
    <t>financial condition</t>
  </si>
  <si>
    <t>Supplier stability</t>
  </si>
  <si>
    <t>condition of assets</t>
  </si>
  <si>
    <t>Production capability</t>
  </si>
  <si>
    <t>business results and employees</t>
  </si>
  <si>
    <t>Supplier health</t>
  </si>
  <si>
    <t>Direct cost impact</t>
  </si>
  <si>
    <t>Operational continuity</t>
  </si>
  <si>
    <t>location and traffic</t>
  </si>
  <si>
    <t>Logistics cost</t>
  </si>
  <si>
    <t>Criteria</t>
  </si>
  <si>
    <t>Supplier ID</t>
  </si>
  <si>
    <t>Weighted Score</t>
  </si>
  <si>
    <t>Rank</t>
  </si>
  <si>
    <t>Classification</t>
  </si>
  <si>
    <t>SUPPLIER EVALUATION DASHBOARD</t>
  </si>
  <si>
    <t>Multi-Criteria Decision Model - 35 Suppliers - 12 Evaluation Criteria</t>
  </si>
  <si>
    <t>TOTAL SUPPLIERS</t>
  </si>
  <si>
    <t>evaluated suppliers</t>
  </si>
  <si>
    <t>PREFERRED</t>
  </si>
  <si>
    <t>top tier suppliers</t>
  </si>
  <si>
    <t>APPROVED</t>
  </si>
  <si>
    <t>qualified suppliers</t>
  </si>
  <si>
    <t>CONDITIONAL</t>
  </si>
  <si>
    <t>require improvement</t>
  </si>
  <si>
    <t>Best Criteria Score</t>
  </si>
  <si>
    <t>Worst Criteria Score</t>
  </si>
  <si>
    <t>Best Criteria Name</t>
  </si>
  <si>
    <t>Worst Criteria Name</t>
  </si>
  <si>
    <t>Avg Score</t>
  </si>
  <si>
    <t>Market Strength</t>
  </si>
  <si>
    <t>Score</t>
  </si>
  <si>
    <t>Weakness</t>
  </si>
  <si>
    <t>MARKET OVERVIEW</t>
  </si>
  <si>
    <t>Best Feature</t>
  </si>
  <si>
    <t>TOP TIER SUPPLIERS</t>
  </si>
  <si>
    <t>Data source: Dynamic Inventory Analytics · Kaggle · Kaizen Analytics · kaggle.com/datasets/andrewniko/dynamic-inventory-dataset-kaizen-analytics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</si>
</sst>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6"/>
      <color theme="0"/>
      <name val="Arial"/>
      <family val="2"/>
    </font>
    <font>
      <i/>
      <sz val="12"/>
      <color theme="1"/>
      <name val="Arial"/>
      <family val="2"/>
    </font>
    <font>
      <b/>
      <sz val="11"/>
      <color theme="0"/>
      <name val="Arial"/>
      <family val="2"/>
    </font>
    <font>
      <sz val="24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E75B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B050"/>
      </font>
      <fill>
        <patternFill>
          <bgColor rgb="FFC6EFCE"/>
        </patternFill>
      </fill>
    </dxf>
    <dxf>
      <font>
        <color theme="6" tint="0.39994506668294322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FFEB9C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Portfolio_Dashboard">
      <a:dk1>
        <a:srgbClr val="1F3864"/>
      </a:dk1>
      <a:lt1>
        <a:srgbClr val="FFFFFF"/>
      </a:lt1>
      <a:dk2>
        <a:srgbClr val="2E75B6"/>
      </a:dk2>
      <a:lt2>
        <a:srgbClr val="EBF3FB"/>
      </a:lt2>
      <a:accent1>
        <a:srgbClr val="375623"/>
      </a:accent1>
      <a:accent2>
        <a:srgbClr val="7F6000"/>
      </a:accent2>
      <a:accent3>
        <a:srgbClr val="843C0C"/>
      </a:accent3>
      <a:accent4>
        <a:srgbClr val="F0F5FF"/>
      </a:accent4>
      <a:accent5>
        <a:srgbClr val="94A3B8"/>
      </a:accent5>
      <a:accent6>
        <a:srgbClr val="1E293B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workbookViewId="0">
      <selection activeCell="E2" sqref="E2"/>
    </sheetView>
  </sheetViews>
  <sheetFormatPr defaultRowHeight="14.4" x14ac:dyDescent="0.3"/>
  <cols>
    <col min="3" max="3" width="9.88671875" customWidth="1"/>
    <col min="4" max="4" width="10.6640625" customWidth="1"/>
    <col min="5" max="5" width="11.77734375" customWidth="1"/>
    <col min="6" max="6" width="12.21875" customWidth="1"/>
    <col min="7" max="7" width="11.44140625" customWidth="1"/>
    <col min="8" max="8" width="11.88671875" customWidth="1"/>
    <col min="9" max="9" width="12" customWidth="1"/>
    <col min="10" max="10" width="15.77734375" customWidth="1"/>
    <col min="12" max="12" width="12.33203125" bestFit="1" customWidth="1"/>
    <col min="13" max="13" width="18.33203125" customWidth="1"/>
    <col min="43" max="43" width="25.109375" bestFit="1" customWidth="1"/>
    <col min="44" max="44" width="20.5546875" bestFit="1" customWidth="1"/>
    <col min="45" max="45" width="12.88671875" bestFit="1" customWidth="1"/>
    <col min="46" max="46" width="10.5546875" bestFit="1" customWidth="1"/>
    <col min="47" max="47" width="18.88671875" bestFit="1" customWidth="1"/>
    <col min="48" max="48" width="12.109375" bestFit="1" customWidth="1"/>
  </cols>
  <sheetData>
    <row r="1" spans="1:13" ht="72" x14ac:dyDescent="0.3">
      <c r="A1" s="3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1" t="s">
        <v>11</v>
      </c>
    </row>
    <row r="2" spans="1:13" x14ac:dyDescent="0.3">
      <c r="A2">
        <v>1</v>
      </c>
      <c r="B2">
        <v>4</v>
      </c>
      <c r="C2">
        <v>350</v>
      </c>
      <c r="D2">
        <v>3</v>
      </c>
      <c r="E2">
        <v>3</v>
      </c>
      <c r="F2">
        <v>4</v>
      </c>
      <c r="G2">
        <v>4</v>
      </c>
      <c r="H2">
        <v>4</v>
      </c>
      <c r="I2">
        <v>3</v>
      </c>
      <c r="J2">
        <v>5</v>
      </c>
      <c r="K2">
        <v>5</v>
      </c>
      <c r="L2">
        <v>2</v>
      </c>
      <c r="M2">
        <v>50</v>
      </c>
    </row>
    <row r="3" spans="1:13" x14ac:dyDescent="0.3">
      <c r="A3">
        <v>2</v>
      </c>
      <c r="B3">
        <v>2</v>
      </c>
      <c r="C3">
        <v>350</v>
      </c>
      <c r="D3">
        <v>2</v>
      </c>
      <c r="E3">
        <v>5</v>
      </c>
      <c r="F3">
        <v>4</v>
      </c>
      <c r="G3">
        <v>3</v>
      </c>
      <c r="H3">
        <v>5</v>
      </c>
      <c r="I3">
        <v>4</v>
      </c>
      <c r="J3">
        <v>6</v>
      </c>
      <c r="K3">
        <v>7</v>
      </c>
      <c r="L3">
        <v>3</v>
      </c>
      <c r="M3">
        <v>60</v>
      </c>
    </row>
    <row r="4" spans="1:13" x14ac:dyDescent="0.3">
      <c r="A4">
        <v>3</v>
      </c>
      <c r="B4">
        <v>2</v>
      </c>
      <c r="C4">
        <v>450</v>
      </c>
      <c r="D4">
        <v>3</v>
      </c>
      <c r="E4">
        <v>6</v>
      </c>
      <c r="F4">
        <v>5</v>
      </c>
      <c r="G4">
        <v>4</v>
      </c>
      <c r="H4">
        <v>7</v>
      </c>
      <c r="I4">
        <v>8</v>
      </c>
      <c r="J4">
        <v>9</v>
      </c>
      <c r="K4">
        <v>8</v>
      </c>
      <c r="L4">
        <v>4</v>
      </c>
      <c r="M4">
        <v>30</v>
      </c>
    </row>
    <row r="5" spans="1:13" x14ac:dyDescent="0.3">
      <c r="A5">
        <v>4</v>
      </c>
      <c r="B5">
        <v>4</v>
      </c>
      <c r="C5">
        <v>260</v>
      </c>
      <c r="D5">
        <v>3</v>
      </c>
      <c r="E5">
        <v>6</v>
      </c>
      <c r="F5">
        <v>8</v>
      </c>
      <c r="G5">
        <v>5</v>
      </c>
      <c r="H5">
        <v>7</v>
      </c>
      <c r="I5">
        <v>8</v>
      </c>
      <c r="J5">
        <v>9</v>
      </c>
      <c r="K5">
        <v>7</v>
      </c>
      <c r="L5">
        <v>1</v>
      </c>
      <c r="M5">
        <v>40</v>
      </c>
    </row>
    <row r="6" spans="1:13" x14ac:dyDescent="0.3">
      <c r="A6">
        <v>5</v>
      </c>
      <c r="B6">
        <v>3</v>
      </c>
      <c r="C6">
        <v>170</v>
      </c>
      <c r="D6">
        <v>3</v>
      </c>
      <c r="E6">
        <v>7</v>
      </c>
      <c r="F6">
        <v>6</v>
      </c>
      <c r="G6">
        <v>2</v>
      </c>
      <c r="H6">
        <v>6</v>
      </c>
      <c r="I6">
        <v>5</v>
      </c>
      <c r="J6">
        <v>4</v>
      </c>
      <c r="K6">
        <v>7</v>
      </c>
      <c r="L6">
        <v>2</v>
      </c>
      <c r="M6">
        <v>35</v>
      </c>
    </row>
    <row r="7" spans="1:13" x14ac:dyDescent="0.3">
      <c r="A7">
        <v>6</v>
      </c>
      <c r="B7">
        <v>4</v>
      </c>
      <c r="C7">
        <v>180</v>
      </c>
      <c r="D7">
        <v>1</v>
      </c>
      <c r="E7">
        <v>8</v>
      </c>
      <c r="F7">
        <v>8</v>
      </c>
      <c r="G7">
        <v>2</v>
      </c>
      <c r="H7">
        <v>9</v>
      </c>
      <c r="I7">
        <v>7</v>
      </c>
      <c r="J7">
        <v>5</v>
      </c>
      <c r="K7">
        <v>8</v>
      </c>
      <c r="L7">
        <v>0.5</v>
      </c>
      <c r="M7">
        <v>55</v>
      </c>
    </row>
    <row r="8" spans="1:13" x14ac:dyDescent="0.3">
      <c r="A8">
        <v>7</v>
      </c>
      <c r="B8">
        <v>3</v>
      </c>
      <c r="C8">
        <v>350</v>
      </c>
      <c r="D8">
        <v>1</v>
      </c>
      <c r="E8">
        <v>3</v>
      </c>
      <c r="F8">
        <v>4</v>
      </c>
      <c r="G8">
        <v>4</v>
      </c>
      <c r="H8">
        <v>4</v>
      </c>
      <c r="I8">
        <v>3</v>
      </c>
      <c r="J8">
        <v>5</v>
      </c>
      <c r="K8">
        <v>5</v>
      </c>
      <c r="L8">
        <v>2</v>
      </c>
      <c r="M8">
        <v>62</v>
      </c>
    </row>
    <row r="9" spans="1:13" x14ac:dyDescent="0.3">
      <c r="A9">
        <v>8</v>
      </c>
      <c r="B9">
        <v>3</v>
      </c>
      <c r="C9">
        <v>250</v>
      </c>
      <c r="D9">
        <v>1</v>
      </c>
      <c r="E9">
        <v>6</v>
      </c>
      <c r="F9">
        <v>5</v>
      </c>
      <c r="G9">
        <v>3</v>
      </c>
      <c r="H9">
        <v>6</v>
      </c>
      <c r="I9">
        <v>5</v>
      </c>
      <c r="J9">
        <v>4</v>
      </c>
      <c r="K9">
        <v>6</v>
      </c>
      <c r="L9">
        <v>4</v>
      </c>
      <c r="M9">
        <v>78</v>
      </c>
    </row>
    <row r="10" spans="1:13" x14ac:dyDescent="0.3">
      <c r="A10">
        <v>9</v>
      </c>
      <c r="B10">
        <v>5</v>
      </c>
      <c r="C10">
        <v>360</v>
      </c>
      <c r="D10">
        <v>4</v>
      </c>
      <c r="E10">
        <v>9</v>
      </c>
      <c r="F10">
        <v>8</v>
      </c>
      <c r="G10">
        <v>5</v>
      </c>
      <c r="H10">
        <v>8</v>
      </c>
      <c r="I10">
        <v>6</v>
      </c>
      <c r="J10">
        <v>5</v>
      </c>
      <c r="K10">
        <v>6</v>
      </c>
      <c r="L10">
        <v>3</v>
      </c>
      <c r="M10">
        <v>120</v>
      </c>
    </row>
    <row r="11" spans="1:13" x14ac:dyDescent="0.3">
      <c r="A11">
        <v>10</v>
      </c>
      <c r="B11">
        <v>4</v>
      </c>
      <c r="C11">
        <v>240</v>
      </c>
      <c r="D11">
        <v>4</v>
      </c>
      <c r="E11">
        <v>9</v>
      </c>
      <c r="F11">
        <v>8</v>
      </c>
      <c r="G11">
        <v>3</v>
      </c>
      <c r="H11">
        <v>8</v>
      </c>
      <c r="I11">
        <v>6</v>
      </c>
      <c r="J11">
        <v>6</v>
      </c>
      <c r="K11">
        <v>7</v>
      </c>
      <c r="L11">
        <v>1</v>
      </c>
      <c r="M11">
        <v>50</v>
      </c>
    </row>
    <row r="12" spans="1:13" x14ac:dyDescent="0.3">
      <c r="A12">
        <v>11</v>
      </c>
      <c r="B12">
        <v>5</v>
      </c>
      <c r="C12">
        <v>120</v>
      </c>
      <c r="D12">
        <v>4</v>
      </c>
      <c r="E12">
        <v>5</v>
      </c>
      <c r="F12">
        <v>6</v>
      </c>
      <c r="G12">
        <v>4</v>
      </c>
      <c r="H12">
        <v>6</v>
      </c>
      <c r="I12">
        <v>7</v>
      </c>
      <c r="J12">
        <v>7</v>
      </c>
      <c r="K12">
        <v>5</v>
      </c>
      <c r="L12">
        <v>2</v>
      </c>
      <c r="M12">
        <v>45</v>
      </c>
    </row>
    <row r="13" spans="1:13" x14ac:dyDescent="0.3">
      <c r="A13">
        <v>12</v>
      </c>
      <c r="B13">
        <v>2</v>
      </c>
      <c r="C13">
        <v>520</v>
      </c>
      <c r="D13">
        <v>5</v>
      </c>
      <c r="E13">
        <v>7</v>
      </c>
      <c r="F13">
        <v>6</v>
      </c>
      <c r="G13">
        <v>2</v>
      </c>
      <c r="H13">
        <v>6</v>
      </c>
      <c r="I13">
        <v>5</v>
      </c>
      <c r="J13">
        <v>8</v>
      </c>
      <c r="K13">
        <v>8</v>
      </c>
      <c r="L13">
        <v>2</v>
      </c>
      <c r="M13">
        <v>65</v>
      </c>
    </row>
    <row r="14" spans="1:13" x14ac:dyDescent="0.3">
      <c r="A14">
        <v>13</v>
      </c>
      <c r="B14">
        <v>3</v>
      </c>
      <c r="C14">
        <v>190</v>
      </c>
      <c r="D14">
        <v>5</v>
      </c>
      <c r="E14">
        <v>7</v>
      </c>
      <c r="F14">
        <v>8</v>
      </c>
      <c r="G14">
        <v>3</v>
      </c>
      <c r="H14">
        <v>8</v>
      </c>
      <c r="I14">
        <v>8</v>
      </c>
      <c r="J14">
        <v>9</v>
      </c>
      <c r="K14">
        <v>4</v>
      </c>
      <c r="L14">
        <v>1</v>
      </c>
      <c r="M14">
        <v>80</v>
      </c>
    </row>
    <row r="15" spans="1:13" x14ac:dyDescent="0.3">
      <c r="A15">
        <v>14</v>
      </c>
      <c r="B15">
        <v>4</v>
      </c>
      <c r="C15">
        <v>450</v>
      </c>
      <c r="D15">
        <v>5</v>
      </c>
      <c r="E15">
        <v>8</v>
      </c>
      <c r="F15">
        <v>7</v>
      </c>
      <c r="G15">
        <v>4</v>
      </c>
      <c r="H15">
        <v>7</v>
      </c>
      <c r="I15">
        <v>6</v>
      </c>
      <c r="J15">
        <v>7</v>
      </c>
      <c r="K15">
        <v>5</v>
      </c>
      <c r="L15">
        <v>3</v>
      </c>
      <c r="M15">
        <v>90</v>
      </c>
    </row>
    <row r="16" spans="1:13" x14ac:dyDescent="0.3">
      <c r="A16">
        <v>15</v>
      </c>
      <c r="B16">
        <v>3</v>
      </c>
      <c r="C16">
        <v>350</v>
      </c>
      <c r="D16">
        <v>3</v>
      </c>
      <c r="E16">
        <v>6</v>
      </c>
      <c r="F16">
        <v>6</v>
      </c>
      <c r="G16">
        <v>4</v>
      </c>
      <c r="H16">
        <v>6</v>
      </c>
      <c r="I16">
        <v>5</v>
      </c>
      <c r="J16">
        <v>5</v>
      </c>
      <c r="K16">
        <v>4</v>
      </c>
      <c r="L16">
        <v>4</v>
      </c>
      <c r="M16">
        <v>150</v>
      </c>
    </row>
    <row r="17" spans="1:13" x14ac:dyDescent="0.3">
      <c r="A17">
        <v>16</v>
      </c>
      <c r="B17">
        <v>5</v>
      </c>
      <c r="C17">
        <v>650</v>
      </c>
      <c r="D17">
        <v>2</v>
      </c>
      <c r="E17">
        <v>7</v>
      </c>
      <c r="F17">
        <v>7</v>
      </c>
      <c r="G17">
        <v>3</v>
      </c>
      <c r="H17">
        <v>7</v>
      </c>
      <c r="I17">
        <v>8</v>
      </c>
      <c r="J17">
        <v>6</v>
      </c>
      <c r="K17">
        <v>6</v>
      </c>
      <c r="L17">
        <v>3</v>
      </c>
      <c r="M17">
        <v>220</v>
      </c>
    </row>
    <row r="18" spans="1:13" x14ac:dyDescent="0.3">
      <c r="A18">
        <v>17</v>
      </c>
      <c r="B18">
        <v>2</v>
      </c>
      <c r="C18">
        <v>870</v>
      </c>
      <c r="D18">
        <v>3</v>
      </c>
      <c r="E18">
        <v>8</v>
      </c>
      <c r="F18">
        <v>9</v>
      </c>
      <c r="G18">
        <v>5</v>
      </c>
      <c r="H18">
        <v>4</v>
      </c>
      <c r="I18">
        <v>3</v>
      </c>
      <c r="J18">
        <v>4</v>
      </c>
      <c r="K18">
        <v>4</v>
      </c>
      <c r="L18">
        <v>1</v>
      </c>
      <c r="M18">
        <v>30</v>
      </c>
    </row>
    <row r="19" spans="1:13" x14ac:dyDescent="0.3">
      <c r="A19">
        <v>18</v>
      </c>
      <c r="B19">
        <v>4</v>
      </c>
      <c r="C19">
        <v>350</v>
      </c>
      <c r="D19">
        <v>1</v>
      </c>
      <c r="E19">
        <v>6</v>
      </c>
      <c r="F19">
        <v>5</v>
      </c>
      <c r="G19">
        <v>3</v>
      </c>
      <c r="H19">
        <v>5</v>
      </c>
      <c r="I19">
        <v>4</v>
      </c>
      <c r="J19">
        <v>5</v>
      </c>
      <c r="K19">
        <v>6</v>
      </c>
      <c r="L19">
        <v>2</v>
      </c>
      <c r="M19">
        <v>56</v>
      </c>
    </row>
    <row r="20" spans="1:13" x14ac:dyDescent="0.3">
      <c r="A20">
        <v>19</v>
      </c>
      <c r="B20">
        <v>5</v>
      </c>
      <c r="C20">
        <v>350</v>
      </c>
      <c r="D20">
        <v>5</v>
      </c>
      <c r="E20">
        <v>3</v>
      </c>
      <c r="F20">
        <v>4</v>
      </c>
      <c r="G20">
        <v>4</v>
      </c>
      <c r="H20">
        <v>3</v>
      </c>
      <c r="I20">
        <v>5</v>
      </c>
      <c r="J20">
        <v>4</v>
      </c>
      <c r="K20">
        <v>7</v>
      </c>
      <c r="L20">
        <v>3</v>
      </c>
      <c r="M20">
        <v>45</v>
      </c>
    </row>
    <row r="21" spans="1:13" x14ac:dyDescent="0.3">
      <c r="A21">
        <v>20</v>
      </c>
      <c r="B21">
        <v>4</v>
      </c>
      <c r="C21">
        <v>650</v>
      </c>
      <c r="D21">
        <v>4</v>
      </c>
      <c r="E21">
        <v>4</v>
      </c>
      <c r="F21">
        <v>5</v>
      </c>
      <c r="G21">
        <v>3</v>
      </c>
      <c r="H21">
        <v>5</v>
      </c>
      <c r="I21">
        <v>4</v>
      </c>
      <c r="J21">
        <v>6</v>
      </c>
      <c r="K21">
        <v>3</v>
      </c>
      <c r="L21">
        <v>3</v>
      </c>
      <c r="M21">
        <v>78</v>
      </c>
    </row>
    <row r="22" spans="1:13" x14ac:dyDescent="0.3">
      <c r="A22">
        <v>21</v>
      </c>
      <c r="B22">
        <v>5</v>
      </c>
      <c r="C22">
        <v>450</v>
      </c>
      <c r="D22">
        <v>1</v>
      </c>
      <c r="E22">
        <v>5</v>
      </c>
      <c r="F22">
        <v>4</v>
      </c>
      <c r="G22">
        <v>4</v>
      </c>
      <c r="H22">
        <v>6</v>
      </c>
      <c r="I22">
        <v>5</v>
      </c>
      <c r="J22">
        <v>6</v>
      </c>
      <c r="K22">
        <v>5</v>
      </c>
      <c r="L22">
        <v>4</v>
      </c>
      <c r="M22">
        <v>66</v>
      </c>
    </row>
    <row r="23" spans="1:13" x14ac:dyDescent="0.3">
      <c r="A23">
        <v>22</v>
      </c>
      <c r="B23">
        <v>3</v>
      </c>
      <c r="C23">
        <v>400</v>
      </c>
      <c r="D23">
        <v>2</v>
      </c>
      <c r="E23">
        <v>5</v>
      </c>
      <c r="F23">
        <v>5</v>
      </c>
      <c r="G23">
        <v>4</v>
      </c>
      <c r="H23">
        <v>4</v>
      </c>
      <c r="I23">
        <v>6</v>
      </c>
      <c r="J23">
        <v>7</v>
      </c>
      <c r="K23">
        <v>3</v>
      </c>
      <c r="L23">
        <v>3</v>
      </c>
      <c r="M23">
        <v>55</v>
      </c>
    </row>
    <row r="24" spans="1:13" x14ac:dyDescent="0.3">
      <c r="A24">
        <v>23</v>
      </c>
      <c r="B24">
        <v>3</v>
      </c>
      <c r="C24">
        <v>550</v>
      </c>
      <c r="D24">
        <v>3</v>
      </c>
      <c r="E24">
        <v>6</v>
      </c>
      <c r="F24">
        <v>8</v>
      </c>
      <c r="G24">
        <v>3</v>
      </c>
      <c r="H24">
        <v>5</v>
      </c>
      <c r="I24">
        <v>4</v>
      </c>
      <c r="J24">
        <v>5</v>
      </c>
      <c r="K24">
        <v>4</v>
      </c>
      <c r="L24">
        <v>4</v>
      </c>
      <c r="M24">
        <v>35</v>
      </c>
    </row>
    <row r="25" spans="1:13" x14ac:dyDescent="0.3">
      <c r="A25">
        <v>24</v>
      </c>
      <c r="B25">
        <v>3</v>
      </c>
      <c r="C25">
        <v>350</v>
      </c>
      <c r="D25">
        <v>3</v>
      </c>
      <c r="E25">
        <v>8</v>
      </c>
      <c r="F25">
        <v>9</v>
      </c>
      <c r="G25">
        <v>3</v>
      </c>
      <c r="H25">
        <v>7</v>
      </c>
      <c r="I25">
        <v>8</v>
      </c>
      <c r="J25">
        <v>7</v>
      </c>
      <c r="K25">
        <v>4</v>
      </c>
      <c r="L25">
        <v>5</v>
      </c>
      <c r="M25">
        <v>45</v>
      </c>
    </row>
    <row r="26" spans="1:13" x14ac:dyDescent="0.3">
      <c r="A26">
        <v>25</v>
      </c>
      <c r="B26">
        <v>2</v>
      </c>
      <c r="C26">
        <v>640</v>
      </c>
      <c r="D26">
        <v>4</v>
      </c>
      <c r="E26">
        <v>7</v>
      </c>
      <c r="F26">
        <v>9</v>
      </c>
      <c r="G26">
        <v>4</v>
      </c>
      <c r="H26">
        <v>8</v>
      </c>
      <c r="I26">
        <v>7</v>
      </c>
      <c r="J26">
        <v>8</v>
      </c>
      <c r="K26">
        <v>3</v>
      </c>
      <c r="L26">
        <v>1</v>
      </c>
      <c r="M26">
        <v>71</v>
      </c>
    </row>
    <row r="27" spans="1:13" x14ac:dyDescent="0.3">
      <c r="A27">
        <v>26</v>
      </c>
      <c r="B27">
        <v>3</v>
      </c>
      <c r="C27">
        <v>120</v>
      </c>
      <c r="D27">
        <v>2</v>
      </c>
      <c r="E27">
        <v>8</v>
      </c>
      <c r="F27">
        <v>7</v>
      </c>
      <c r="G27">
        <v>2</v>
      </c>
      <c r="H27">
        <v>9</v>
      </c>
      <c r="I27">
        <v>8</v>
      </c>
      <c r="J27">
        <v>9</v>
      </c>
      <c r="K27">
        <v>4</v>
      </c>
      <c r="L27">
        <v>3</v>
      </c>
      <c r="M27">
        <v>25</v>
      </c>
    </row>
    <row r="28" spans="1:13" x14ac:dyDescent="0.3">
      <c r="A28">
        <v>27</v>
      </c>
      <c r="B28">
        <v>3</v>
      </c>
      <c r="C28">
        <v>450</v>
      </c>
      <c r="D28">
        <v>3</v>
      </c>
      <c r="E28">
        <v>9</v>
      </c>
      <c r="F28">
        <v>8</v>
      </c>
      <c r="G28">
        <v>3</v>
      </c>
      <c r="H28">
        <v>8</v>
      </c>
      <c r="I28">
        <v>7</v>
      </c>
      <c r="J28">
        <v>6</v>
      </c>
      <c r="K28">
        <v>3</v>
      </c>
      <c r="L28">
        <v>2</v>
      </c>
      <c r="M28">
        <v>53</v>
      </c>
    </row>
    <row r="29" spans="1:13" x14ac:dyDescent="0.3">
      <c r="A29">
        <v>28</v>
      </c>
      <c r="B29">
        <v>4</v>
      </c>
      <c r="C29">
        <v>350</v>
      </c>
      <c r="D29">
        <v>4</v>
      </c>
      <c r="E29">
        <v>6</v>
      </c>
      <c r="F29">
        <v>7</v>
      </c>
      <c r="G29">
        <v>4</v>
      </c>
      <c r="H29">
        <v>5</v>
      </c>
      <c r="I29">
        <v>4</v>
      </c>
      <c r="J29">
        <v>5</v>
      </c>
      <c r="K29">
        <v>6</v>
      </c>
      <c r="L29">
        <v>3</v>
      </c>
      <c r="M29">
        <v>51</v>
      </c>
    </row>
    <row r="30" spans="1:13" x14ac:dyDescent="0.3">
      <c r="A30">
        <v>29</v>
      </c>
      <c r="B30">
        <v>3</v>
      </c>
      <c r="C30">
        <v>150</v>
      </c>
      <c r="D30">
        <v>5</v>
      </c>
      <c r="E30">
        <v>3</v>
      </c>
      <c r="F30">
        <v>6</v>
      </c>
      <c r="G30">
        <v>3</v>
      </c>
      <c r="H30">
        <v>4</v>
      </c>
      <c r="I30">
        <v>6</v>
      </c>
      <c r="J30">
        <v>7</v>
      </c>
      <c r="K30">
        <v>6</v>
      </c>
      <c r="L30">
        <v>4</v>
      </c>
      <c r="M30">
        <v>84</v>
      </c>
    </row>
    <row r="31" spans="1:13" x14ac:dyDescent="0.3">
      <c r="A31">
        <v>30</v>
      </c>
      <c r="B31">
        <v>4</v>
      </c>
      <c r="C31">
        <v>420</v>
      </c>
      <c r="D31">
        <v>1</v>
      </c>
      <c r="E31">
        <v>4</v>
      </c>
      <c r="F31">
        <v>5</v>
      </c>
      <c r="G31">
        <v>4</v>
      </c>
      <c r="H31">
        <v>5</v>
      </c>
      <c r="I31">
        <v>6</v>
      </c>
      <c r="J31">
        <v>7</v>
      </c>
      <c r="K31">
        <v>7</v>
      </c>
      <c r="L31">
        <v>1</v>
      </c>
      <c r="M31">
        <v>75</v>
      </c>
    </row>
    <row r="32" spans="1:13" x14ac:dyDescent="0.3">
      <c r="A32">
        <v>31</v>
      </c>
      <c r="B32">
        <v>2</v>
      </c>
      <c r="C32">
        <v>150</v>
      </c>
      <c r="D32">
        <v>1</v>
      </c>
      <c r="E32">
        <v>5</v>
      </c>
      <c r="F32">
        <v>4</v>
      </c>
      <c r="G32">
        <v>2</v>
      </c>
      <c r="H32">
        <v>4</v>
      </c>
      <c r="I32">
        <v>5</v>
      </c>
      <c r="J32">
        <v>6</v>
      </c>
      <c r="K32">
        <v>3</v>
      </c>
      <c r="L32">
        <v>3</v>
      </c>
      <c r="M32">
        <v>42</v>
      </c>
    </row>
    <row r="33" spans="1:13" x14ac:dyDescent="0.3">
      <c r="A33">
        <v>32</v>
      </c>
      <c r="B33">
        <v>4</v>
      </c>
      <c r="C33">
        <v>250</v>
      </c>
      <c r="D33">
        <v>2</v>
      </c>
      <c r="E33">
        <v>5</v>
      </c>
      <c r="F33">
        <v>4</v>
      </c>
      <c r="G33">
        <v>3</v>
      </c>
      <c r="H33">
        <v>4</v>
      </c>
      <c r="I33">
        <v>5</v>
      </c>
      <c r="J33">
        <v>7</v>
      </c>
      <c r="K33">
        <v>8</v>
      </c>
      <c r="L33">
        <v>2</v>
      </c>
      <c r="M33">
        <v>15</v>
      </c>
    </row>
    <row r="34" spans="1:13" x14ac:dyDescent="0.3">
      <c r="A34">
        <v>33</v>
      </c>
      <c r="B34">
        <v>3</v>
      </c>
      <c r="C34">
        <v>350</v>
      </c>
      <c r="D34">
        <v>2</v>
      </c>
      <c r="E34">
        <v>4</v>
      </c>
      <c r="F34">
        <v>5</v>
      </c>
      <c r="G34">
        <v>4</v>
      </c>
      <c r="H34">
        <v>6</v>
      </c>
      <c r="I34">
        <v>7</v>
      </c>
      <c r="J34">
        <v>6</v>
      </c>
      <c r="K34">
        <v>5</v>
      </c>
      <c r="L34">
        <v>4</v>
      </c>
      <c r="M34">
        <v>38</v>
      </c>
    </row>
    <row r="35" spans="1:13" x14ac:dyDescent="0.3">
      <c r="A35">
        <v>34</v>
      </c>
      <c r="B35">
        <v>3</v>
      </c>
      <c r="C35">
        <v>150</v>
      </c>
      <c r="D35">
        <v>3</v>
      </c>
      <c r="E35">
        <v>5</v>
      </c>
      <c r="F35">
        <v>6</v>
      </c>
      <c r="G35">
        <v>3</v>
      </c>
      <c r="H35">
        <v>4</v>
      </c>
      <c r="I35">
        <v>6</v>
      </c>
      <c r="J35">
        <v>5</v>
      </c>
      <c r="K35">
        <v>4</v>
      </c>
      <c r="L35">
        <v>3</v>
      </c>
      <c r="M35">
        <v>84</v>
      </c>
    </row>
    <row r="36" spans="1:13" x14ac:dyDescent="0.3">
      <c r="A36">
        <v>35</v>
      </c>
      <c r="B36">
        <v>2</v>
      </c>
      <c r="C36">
        <v>150</v>
      </c>
      <c r="D36">
        <v>4</v>
      </c>
      <c r="E36">
        <v>5</v>
      </c>
      <c r="F36">
        <v>6</v>
      </c>
      <c r="G36">
        <v>3</v>
      </c>
      <c r="H36">
        <v>4</v>
      </c>
      <c r="I36">
        <v>6</v>
      </c>
      <c r="J36">
        <v>7</v>
      </c>
      <c r="K36">
        <v>3</v>
      </c>
      <c r="L36">
        <v>1</v>
      </c>
      <c r="M36">
        <v>72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C7A9-BE00-4F84-AF61-31AC8869BC69}">
  <sheetPr filterMode="1"/>
  <dimension ref="A1:M36"/>
  <sheetViews>
    <sheetView zoomScale="85" zoomScaleNormal="85" workbookViewId="0">
      <selection activeCell="A10" sqref="A10"/>
    </sheetView>
  </sheetViews>
  <sheetFormatPr defaultRowHeight="14.4" x14ac:dyDescent="0.3"/>
  <cols>
    <col min="1" max="1" width="7.33203125" bestFit="1" customWidth="1"/>
    <col min="2" max="2" width="6.21875" bestFit="1" customWidth="1"/>
    <col min="3" max="3" width="7.33203125" bestFit="1" customWidth="1"/>
    <col min="4" max="4" width="21.6640625" bestFit="1" customWidth="1"/>
    <col min="5" max="5" width="29.21875" bestFit="1" customWidth="1"/>
    <col min="6" max="6" width="21.33203125" bestFit="1" customWidth="1"/>
    <col min="7" max="7" width="7.77734375" bestFit="1" customWidth="1"/>
    <col min="8" max="8" width="18" bestFit="1" customWidth="1"/>
    <col min="9" max="9" width="21.88671875" bestFit="1" customWidth="1"/>
    <col min="10" max="10" width="26.6640625" bestFit="1" customWidth="1"/>
    <col min="11" max="11" width="10.33203125" customWidth="1"/>
    <col min="12" max="12" width="7.21875" bestFit="1" customWidth="1"/>
    <col min="13" max="13" width="24.44140625" bestFit="1" customWidth="1"/>
  </cols>
  <sheetData>
    <row r="1" spans="1:13" ht="39.6" x14ac:dyDescent="0.3">
      <c r="A1" s="4" t="s">
        <v>12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hidden="1" x14ac:dyDescent="0.3">
      <c r="A2">
        <f>'Raw Data - Suppliers'!A2</f>
        <v>1</v>
      </c>
      <c r="B2">
        <f>('Raw Data - Suppliers'!B2-MIN('Raw Data - Suppliers'!B$2:B$36))/(MAX('Raw Data - Suppliers'!B$2:B$36)-MIN('Raw Data - Suppliers'!B$2:B$36))</f>
        <v>0.66666666666666663</v>
      </c>
      <c r="C2">
        <f>('Raw Data - Suppliers'!C2-MIN('Raw Data - Suppliers'!C$2:C$36))/(MAX('Raw Data - Suppliers'!C$2:C$36)-MIN('Raw Data - Suppliers'!C$2:C$36))</f>
        <v>0.30666666666666664</v>
      </c>
      <c r="D2">
        <f>('Raw Data - Suppliers'!D2-MIN('Raw Data - Suppliers'!D$2:D$36))/(MAX('Raw Data - Suppliers'!D$2:D$36)-MIN('Raw Data - Suppliers'!D$2:D$36))</f>
        <v>0.5</v>
      </c>
      <c r="E2">
        <f>('Raw Data - Suppliers'!E2-MIN('Raw Data - Suppliers'!E$2:E$36))/(MAX('Raw Data - Suppliers'!E$2:E$36)-MIN('Raw Data - Suppliers'!E$2:E$36))</f>
        <v>0</v>
      </c>
      <c r="F2">
        <f>('Raw Data - Suppliers'!F2-MIN('Raw Data - Suppliers'!F$2:F$36))/(MAX('Raw Data - Suppliers'!F$2:F$36)-MIN('Raw Data - Suppliers'!F$2:F$36))</f>
        <v>0</v>
      </c>
      <c r="G2">
        <f>('Raw Data - Suppliers'!G2-MIN('Raw Data - Suppliers'!G$2:G$36))/(MAX('Raw Data - Suppliers'!G$2:G$36)-MIN('Raw Data - Suppliers'!G$2:G$36))</f>
        <v>0.66666666666666663</v>
      </c>
      <c r="H2">
        <f>('Raw Data - Suppliers'!H2-MIN('Raw Data - Suppliers'!H$2:H$36))/(MAX('Raw Data - Suppliers'!H$2:H$36)-MIN('Raw Data - Suppliers'!H$2:H$36))</f>
        <v>0.16666666666666666</v>
      </c>
      <c r="I2">
        <f>('Raw Data - Suppliers'!I2-MIN('Raw Data - Suppliers'!I$2:I$36))/(MAX('Raw Data - Suppliers'!I$2:I$36)-MIN('Raw Data - Suppliers'!I$2:I$36))</f>
        <v>0</v>
      </c>
      <c r="J2">
        <f>('Raw Data - Suppliers'!J2-MIN('Raw Data - Suppliers'!J$2:J$36))/(MAX('Raw Data - Suppliers'!J$2:J$36)-MIN('Raw Data - Suppliers'!J$2:J$36))</f>
        <v>0.2</v>
      </c>
      <c r="K2">
        <f>1-('Raw Data - Suppliers'!K2-MIN('Raw Data - Suppliers'!K$2:K$36))/(MAX('Raw Data - Suppliers'!K$2:K$36)-MIN('Raw Data - Suppliers'!K$2:K$36))</f>
        <v>0.6</v>
      </c>
      <c r="L2">
        <f>('Raw Data - Suppliers'!L2-MIN('Raw Data - Suppliers'!L$2:L$36))/(MAX('Raw Data - Suppliers'!L$2:L$36)-MIN('Raw Data - Suppliers'!L$2:L$36))</f>
        <v>0.33333333333333331</v>
      </c>
      <c r="M2">
        <f>1-('Raw Data - Suppliers'!M2-MIN('Raw Data - Suppliers'!M$2:M$36))/(MAX('Raw Data - Suppliers'!M$2:M$36)-MIN('Raw Data - Suppliers'!M$2:M$36))</f>
        <v>0.82926829268292679</v>
      </c>
    </row>
    <row r="3" spans="1:13" hidden="1" x14ac:dyDescent="0.3">
      <c r="A3">
        <f>'Raw Data - Suppliers'!A3</f>
        <v>2</v>
      </c>
      <c r="B3">
        <f>('Raw Data - Suppliers'!B3-MIN('Raw Data - Suppliers'!B$2:B$36))/(MAX('Raw Data - Suppliers'!B$2:B$36)-MIN('Raw Data - Suppliers'!B$2:B$36))</f>
        <v>0</v>
      </c>
      <c r="C3">
        <f>('Raw Data - Suppliers'!C3-MIN('Raw Data - Suppliers'!C$2:C$36))/(MAX('Raw Data - Suppliers'!C$2:C$36)-MIN('Raw Data - Suppliers'!C$2:C$36))</f>
        <v>0.30666666666666664</v>
      </c>
      <c r="D3">
        <f>('Raw Data - Suppliers'!D3-MIN('Raw Data - Suppliers'!D$2:D$36))/(MAX('Raw Data - Suppliers'!D$2:D$36)-MIN('Raw Data - Suppliers'!D$2:D$36))</f>
        <v>0.25</v>
      </c>
      <c r="E3">
        <f>('Raw Data - Suppliers'!E3-MIN('Raw Data - Suppliers'!E$2:E$36))/(MAX('Raw Data - Suppliers'!E$2:E$36)-MIN('Raw Data - Suppliers'!E$2:E$36))</f>
        <v>0.33333333333333331</v>
      </c>
      <c r="F3">
        <f>('Raw Data - Suppliers'!F3-MIN('Raw Data - Suppliers'!F$2:F$36))/(MAX('Raw Data - Suppliers'!F$2:F$36)-MIN('Raw Data - Suppliers'!F$2:F$36))</f>
        <v>0</v>
      </c>
      <c r="G3">
        <f>('Raw Data - Suppliers'!G3-MIN('Raw Data - Suppliers'!G$2:G$36))/(MAX('Raw Data - Suppliers'!G$2:G$36)-MIN('Raw Data - Suppliers'!G$2:G$36))</f>
        <v>0.33333333333333331</v>
      </c>
      <c r="H3">
        <f>('Raw Data - Suppliers'!H3-MIN('Raw Data - Suppliers'!H$2:H$36))/(MAX('Raw Data - Suppliers'!H$2:H$36)-MIN('Raw Data - Suppliers'!H$2:H$36))</f>
        <v>0.33333333333333331</v>
      </c>
      <c r="I3">
        <f>('Raw Data - Suppliers'!I3-MIN('Raw Data - Suppliers'!I$2:I$36))/(MAX('Raw Data - Suppliers'!I$2:I$36)-MIN('Raw Data - Suppliers'!I$2:I$36))</f>
        <v>0.2</v>
      </c>
      <c r="J3">
        <f>('Raw Data - Suppliers'!J3-MIN('Raw Data - Suppliers'!J$2:J$36))/(MAX('Raw Data - Suppliers'!J$2:J$36)-MIN('Raw Data - Suppliers'!J$2:J$36))</f>
        <v>0.4</v>
      </c>
      <c r="K3">
        <f>1-('Raw Data - Suppliers'!K3-MIN('Raw Data - Suppliers'!K$2:K$36))/(MAX('Raw Data - Suppliers'!K$2:K$36)-MIN('Raw Data - Suppliers'!K$2:K$36))</f>
        <v>0.19999999999999996</v>
      </c>
      <c r="L3">
        <f>('Raw Data - Suppliers'!L3-MIN('Raw Data - Suppliers'!L$2:L$36))/(MAX('Raw Data - Suppliers'!L$2:L$36)-MIN('Raw Data - Suppliers'!L$2:L$36))</f>
        <v>0.55555555555555558</v>
      </c>
      <c r="M3">
        <f>1-('Raw Data - Suppliers'!M3-MIN('Raw Data - Suppliers'!M$2:M$36))/(MAX('Raw Data - Suppliers'!M$2:M$36)-MIN('Raw Data - Suppliers'!M$2:M$36))</f>
        <v>0.78048780487804881</v>
      </c>
    </row>
    <row r="4" spans="1:13" hidden="1" x14ac:dyDescent="0.3">
      <c r="A4">
        <f>'Raw Data - Suppliers'!A4</f>
        <v>3</v>
      </c>
      <c r="B4">
        <f>('Raw Data - Suppliers'!B4-MIN('Raw Data - Suppliers'!B$2:B$36))/(MAX('Raw Data - Suppliers'!B$2:B$36)-MIN('Raw Data - Suppliers'!B$2:B$36))</f>
        <v>0</v>
      </c>
      <c r="C4">
        <f>('Raw Data - Suppliers'!C4-MIN('Raw Data - Suppliers'!C$2:C$36))/(MAX('Raw Data - Suppliers'!C$2:C$36)-MIN('Raw Data - Suppliers'!C$2:C$36))</f>
        <v>0.44</v>
      </c>
      <c r="D4">
        <f>('Raw Data - Suppliers'!D4-MIN('Raw Data - Suppliers'!D$2:D$36))/(MAX('Raw Data - Suppliers'!D$2:D$36)-MIN('Raw Data - Suppliers'!D$2:D$36))</f>
        <v>0.5</v>
      </c>
      <c r="E4">
        <f>('Raw Data - Suppliers'!E4-MIN('Raw Data - Suppliers'!E$2:E$36))/(MAX('Raw Data - Suppliers'!E$2:E$36)-MIN('Raw Data - Suppliers'!E$2:E$36))</f>
        <v>0.5</v>
      </c>
      <c r="F4">
        <f>('Raw Data - Suppliers'!F4-MIN('Raw Data - Suppliers'!F$2:F$36))/(MAX('Raw Data - Suppliers'!F$2:F$36)-MIN('Raw Data - Suppliers'!F$2:F$36))</f>
        <v>0.2</v>
      </c>
      <c r="G4">
        <f>('Raw Data - Suppliers'!G4-MIN('Raw Data - Suppliers'!G$2:G$36))/(MAX('Raw Data - Suppliers'!G$2:G$36)-MIN('Raw Data - Suppliers'!G$2:G$36))</f>
        <v>0.66666666666666663</v>
      </c>
      <c r="H4">
        <f>('Raw Data - Suppliers'!H4-MIN('Raw Data - Suppliers'!H$2:H$36))/(MAX('Raw Data - Suppliers'!H$2:H$36)-MIN('Raw Data - Suppliers'!H$2:H$36))</f>
        <v>0.66666666666666663</v>
      </c>
      <c r="I4">
        <f>('Raw Data - Suppliers'!I4-MIN('Raw Data - Suppliers'!I$2:I$36))/(MAX('Raw Data - Suppliers'!I$2:I$36)-MIN('Raw Data - Suppliers'!I$2:I$36))</f>
        <v>1</v>
      </c>
      <c r="J4">
        <f>('Raw Data - Suppliers'!J4-MIN('Raw Data - Suppliers'!J$2:J$36))/(MAX('Raw Data - Suppliers'!J$2:J$36)-MIN('Raw Data - Suppliers'!J$2:J$36))</f>
        <v>1</v>
      </c>
      <c r="K4">
        <f>1-('Raw Data - Suppliers'!K4-MIN('Raw Data - Suppliers'!K$2:K$36))/(MAX('Raw Data - Suppliers'!K$2:K$36)-MIN('Raw Data - Suppliers'!K$2:K$36))</f>
        <v>0</v>
      </c>
      <c r="L4">
        <f>('Raw Data - Suppliers'!L4-MIN('Raw Data - Suppliers'!L$2:L$36))/(MAX('Raw Data - Suppliers'!L$2:L$36)-MIN('Raw Data - Suppliers'!L$2:L$36))</f>
        <v>0.77777777777777779</v>
      </c>
      <c r="M4">
        <f>1-('Raw Data - Suppliers'!M4-MIN('Raw Data - Suppliers'!M$2:M$36))/(MAX('Raw Data - Suppliers'!M$2:M$36)-MIN('Raw Data - Suppliers'!M$2:M$36))</f>
        <v>0.92682926829268297</v>
      </c>
    </row>
    <row r="5" spans="1:13" hidden="1" x14ac:dyDescent="0.3">
      <c r="A5">
        <f>'Raw Data - Suppliers'!A5</f>
        <v>4</v>
      </c>
      <c r="B5">
        <f>('Raw Data - Suppliers'!B5-MIN('Raw Data - Suppliers'!B$2:B$36))/(MAX('Raw Data - Suppliers'!B$2:B$36)-MIN('Raw Data - Suppliers'!B$2:B$36))</f>
        <v>0.66666666666666663</v>
      </c>
      <c r="C5">
        <f>('Raw Data - Suppliers'!C5-MIN('Raw Data - Suppliers'!C$2:C$36))/(MAX('Raw Data - Suppliers'!C$2:C$36)-MIN('Raw Data - Suppliers'!C$2:C$36))</f>
        <v>0.18666666666666668</v>
      </c>
      <c r="D5">
        <f>('Raw Data - Suppliers'!D5-MIN('Raw Data - Suppliers'!D$2:D$36))/(MAX('Raw Data - Suppliers'!D$2:D$36)-MIN('Raw Data - Suppliers'!D$2:D$36))</f>
        <v>0.5</v>
      </c>
      <c r="E5">
        <f>('Raw Data - Suppliers'!E5-MIN('Raw Data - Suppliers'!E$2:E$36))/(MAX('Raw Data - Suppliers'!E$2:E$36)-MIN('Raw Data - Suppliers'!E$2:E$36))</f>
        <v>0.5</v>
      </c>
      <c r="F5">
        <f>('Raw Data - Suppliers'!F5-MIN('Raw Data - Suppliers'!F$2:F$36))/(MAX('Raw Data - Suppliers'!F$2:F$36)-MIN('Raw Data - Suppliers'!F$2:F$36))</f>
        <v>0.8</v>
      </c>
      <c r="G5">
        <f>('Raw Data - Suppliers'!G5-MIN('Raw Data - Suppliers'!G$2:G$36))/(MAX('Raw Data - Suppliers'!G$2:G$36)-MIN('Raw Data - Suppliers'!G$2:G$36))</f>
        <v>1</v>
      </c>
      <c r="H5">
        <f>('Raw Data - Suppliers'!H5-MIN('Raw Data - Suppliers'!H$2:H$36))/(MAX('Raw Data - Suppliers'!H$2:H$36)-MIN('Raw Data - Suppliers'!H$2:H$36))</f>
        <v>0.66666666666666663</v>
      </c>
      <c r="I5">
        <f>('Raw Data - Suppliers'!I5-MIN('Raw Data - Suppliers'!I$2:I$36))/(MAX('Raw Data - Suppliers'!I$2:I$36)-MIN('Raw Data - Suppliers'!I$2:I$36))</f>
        <v>1</v>
      </c>
      <c r="J5">
        <f>('Raw Data - Suppliers'!J5-MIN('Raw Data - Suppliers'!J$2:J$36))/(MAX('Raw Data - Suppliers'!J$2:J$36)-MIN('Raw Data - Suppliers'!J$2:J$36))</f>
        <v>1</v>
      </c>
      <c r="K5">
        <f>1-('Raw Data - Suppliers'!K5-MIN('Raw Data - Suppliers'!K$2:K$36))/(MAX('Raw Data - Suppliers'!K$2:K$36)-MIN('Raw Data - Suppliers'!K$2:K$36))</f>
        <v>0.19999999999999996</v>
      </c>
      <c r="L5">
        <f>('Raw Data - Suppliers'!L5-MIN('Raw Data - Suppliers'!L$2:L$36))/(MAX('Raw Data - Suppliers'!L$2:L$36)-MIN('Raw Data - Suppliers'!L$2:L$36))</f>
        <v>0.1111111111111111</v>
      </c>
      <c r="M5">
        <f>1-('Raw Data - Suppliers'!M5-MIN('Raw Data - Suppliers'!M$2:M$36))/(MAX('Raw Data - Suppliers'!M$2:M$36)-MIN('Raw Data - Suppliers'!M$2:M$36))</f>
        <v>0.87804878048780488</v>
      </c>
    </row>
    <row r="6" spans="1:13" hidden="1" x14ac:dyDescent="0.3">
      <c r="A6">
        <f>'Raw Data - Suppliers'!A6</f>
        <v>5</v>
      </c>
      <c r="B6">
        <f>('Raw Data - Suppliers'!B6-MIN('Raw Data - Suppliers'!B$2:B$36))/(MAX('Raw Data - Suppliers'!B$2:B$36)-MIN('Raw Data - Suppliers'!B$2:B$36))</f>
        <v>0.33333333333333331</v>
      </c>
      <c r="C6">
        <f>('Raw Data - Suppliers'!C6-MIN('Raw Data - Suppliers'!C$2:C$36))/(MAX('Raw Data - Suppliers'!C$2:C$36)-MIN('Raw Data - Suppliers'!C$2:C$36))</f>
        <v>6.6666666666666666E-2</v>
      </c>
      <c r="D6">
        <f>('Raw Data - Suppliers'!D6-MIN('Raw Data - Suppliers'!D$2:D$36))/(MAX('Raw Data - Suppliers'!D$2:D$36)-MIN('Raw Data - Suppliers'!D$2:D$36))</f>
        <v>0.5</v>
      </c>
      <c r="E6">
        <f>('Raw Data - Suppliers'!E6-MIN('Raw Data - Suppliers'!E$2:E$36))/(MAX('Raw Data - Suppliers'!E$2:E$36)-MIN('Raw Data - Suppliers'!E$2:E$36))</f>
        <v>0.66666666666666663</v>
      </c>
      <c r="F6">
        <f>('Raw Data - Suppliers'!F6-MIN('Raw Data - Suppliers'!F$2:F$36))/(MAX('Raw Data - Suppliers'!F$2:F$36)-MIN('Raw Data - Suppliers'!F$2:F$36))</f>
        <v>0.4</v>
      </c>
      <c r="G6">
        <f>('Raw Data - Suppliers'!G6-MIN('Raw Data - Suppliers'!G$2:G$36))/(MAX('Raw Data - Suppliers'!G$2:G$36)-MIN('Raw Data - Suppliers'!G$2:G$36))</f>
        <v>0</v>
      </c>
      <c r="H6">
        <f>('Raw Data - Suppliers'!H6-MIN('Raw Data - Suppliers'!H$2:H$36))/(MAX('Raw Data - Suppliers'!H$2:H$36)-MIN('Raw Data - Suppliers'!H$2:H$36))</f>
        <v>0.5</v>
      </c>
      <c r="I6">
        <f>('Raw Data - Suppliers'!I6-MIN('Raw Data - Suppliers'!I$2:I$36))/(MAX('Raw Data - Suppliers'!I$2:I$36)-MIN('Raw Data - Suppliers'!I$2:I$36))</f>
        <v>0.4</v>
      </c>
      <c r="J6">
        <f>('Raw Data - Suppliers'!J6-MIN('Raw Data - Suppliers'!J$2:J$36))/(MAX('Raw Data - Suppliers'!J$2:J$36)-MIN('Raw Data - Suppliers'!J$2:J$36))</f>
        <v>0</v>
      </c>
      <c r="K6">
        <f>1-('Raw Data - Suppliers'!K6-MIN('Raw Data - Suppliers'!K$2:K$36))/(MAX('Raw Data - Suppliers'!K$2:K$36)-MIN('Raw Data - Suppliers'!K$2:K$36))</f>
        <v>0.19999999999999996</v>
      </c>
      <c r="L6">
        <f>('Raw Data - Suppliers'!L6-MIN('Raw Data - Suppliers'!L$2:L$36))/(MAX('Raw Data - Suppliers'!L$2:L$36)-MIN('Raw Data - Suppliers'!L$2:L$36))</f>
        <v>0.33333333333333331</v>
      </c>
      <c r="M6">
        <f>1-('Raw Data - Suppliers'!M6-MIN('Raw Data - Suppliers'!M$2:M$36))/(MAX('Raw Data - Suppliers'!M$2:M$36)-MIN('Raw Data - Suppliers'!M$2:M$36))</f>
        <v>0.90243902439024393</v>
      </c>
    </row>
    <row r="7" spans="1:13" hidden="1" x14ac:dyDescent="0.3">
      <c r="A7">
        <f>'Raw Data - Suppliers'!A7</f>
        <v>6</v>
      </c>
      <c r="B7">
        <f>('Raw Data - Suppliers'!B7-MIN('Raw Data - Suppliers'!B$2:B$36))/(MAX('Raw Data - Suppliers'!B$2:B$36)-MIN('Raw Data - Suppliers'!B$2:B$36))</f>
        <v>0.66666666666666663</v>
      </c>
      <c r="C7">
        <f>('Raw Data - Suppliers'!C7-MIN('Raw Data - Suppliers'!C$2:C$36))/(MAX('Raw Data - Suppliers'!C$2:C$36)-MIN('Raw Data - Suppliers'!C$2:C$36))</f>
        <v>0.08</v>
      </c>
      <c r="D7">
        <f>('Raw Data - Suppliers'!D7-MIN('Raw Data - Suppliers'!D$2:D$36))/(MAX('Raw Data - Suppliers'!D$2:D$36)-MIN('Raw Data - Suppliers'!D$2:D$36))</f>
        <v>0</v>
      </c>
      <c r="E7">
        <f>('Raw Data - Suppliers'!E7-MIN('Raw Data - Suppliers'!E$2:E$36))/(MAX('Raw Data - Suppliers'!E$2:E$36)-MIN('Raw Data - Suppliers'!E$2:E$36))</f>
        <v>0.83333333333333337</v>
      </c>
      <c r="F7">
        <f>('Raw Data - Suppliers'!F7-MIN('Raw Data - Suppliers'!F$2:F$36))/(MAX('Raw Data - Suppliers'!F$2:F$36)-MIN('Raw Data - Suppliers'!F$2:F$36))</f>
        <v>0.8</v>
      </c>
      <c r="G7">
        <f>('Raw Data - Suppliers'!G7-MIN('Raw Data - Suppliers'!G$2:G$36))/(MAX('Raw Data - Suppliers'!G$2:G$36)-MIN('Raw Data - Suppliers'!G$2:G$36))</f>
        <v>0</v>
      </c>
      <c r="H7">
        <f>('Raw Data - Suppliers'!H7-MIN('Raw Data - Suppliers'!H$2:H$36))/(MAX('Raw Data - Suppliers'!H$2:H$36)-MIN('Raw Data - Suppliers'!H$2:H$36))</f>
        <v>1</v>
      </c>
      <c r="I7">
        <f>('Raw Data - Suppliers'!I7-MIN('Raw Data - Suppliers'!I$2:I$36))/(MAX('Raw Data - Suppliers'!I$2:I$36)-MIN('Raw Data - Suppliers'!I$2:I$36))</f>
        <v>0.8</v>
      </c>
      <c r="J7">
        <f>('Raw Data - Suppliers'!J7-MIN('Raw Data - Suppliers'!J$2:J$36))/(MAX('Raw Data - Suppliers'!J$2:J$36)-MIN('Raw Data - Suppliers'!J$2:J$36))</f>
        <v>0.2</v>
      </c>
      <c r="K7">
        <f>1-('Raw Data - Suppliers'!K7-MIN('Raw Data - Suppliers'!K$2:K$36))/(MAX('Raw Data - Suppliers'!K$2:K$36)-MIN('Raw Data - Suppliers'!K$2:K$36))</f>
        <v>0</v>
      </c>
      <c r="L7">
        <f>('Raw Data - Suppliers'!L7-MIN('Raw Data - Suppliers'!L$2:L$36))/(MAX('Raw Data - Suppliers'!L$2:L$36)-MIN('Raw Data - Suppliers'!L$2:L$36))</f>
        <v>0</v>
      </c>
      <c r="M7">
        <f>1-('Raw Data - Suppliers'!M7-MIN('Raw Data - Suppliers'!M$2:M$36))/(MAX('Raw Data - Suppliers'!M$2:M$36)-MIN('Raw Data - Suppliers'!M$2:M$36))</f>
        <v>0.80487804878048785</v>
      </c>
    </row>
    <row r="8" spans="1:13" hidden="1" x14ac:dyDescent="0.3">
      <c r="A8">
        <f>'Raw Data - Suppliers'!A8</f>
        <v>7</v>
      </c>
      <c r="B8">
        <f>('Raw Data - Suppliers'!B8-MIN('Raw Data - Suppliers'!B$2:B$36))/(MAX('Raw Data - Suppliers'!B$2:B$36)-MIN('Raw Data - Suppliers'!B$2:B$36))</f>
        <v>0.33333333333333331</v>
      </c>
      <c r="C8">
        <f>('Raw Data - Suppliers'!C8-MIN('Raw Data - Suppliers'!C$2:C$36))/(MAX('Raw Data - Suppliers'!C$2:C$36)-MIN('Raw Data - Suppliers'!C$2:C$36))</f>
        <v>0.30666666666666664</v>
      </c>
      <c r="D8">
        <f>('Raw Data - Suppliers'!D8-MIN('Raw Data - Suppliers'!D$2:D$36))/(MAX('Raw Data - Suppliers'!D$2:D$36)-MIN('Raw Data - Suppliers'!D$2:D$36))</f>
        <v>0</v>
      </c>
      <c r="E8">
        <f>('Raw Data - Suppliers'!E8-MIN('Raw Data - Suppliers'!E$2:E$36))/(MAX('Raw Data - Suppliers'!E$2:E$36)-MIN('Raw Data - Suppliers'!E$2:E$36))</f>
        <v>0</v>
      </c>
      <c r="F8">
        <f>('Raw Data - Suppliers'!F8-MIN('Raw Data - Suppliers'!F$2:F$36))/(MAX('Raw Data - Suppliers'!F$2:F$36)-MIN('Raw Data - Suppliers'!F$2:F$36))</f>
        <v>0</v>
      </c>
      <c r="G8">
        <f>('Raw Data - Suppliers'!G8-MIN('Raw Data - Suppliers'!G$2:G$36))/(MAX('Raw Data - Suppliers'!G$2:G$36)-MIN('Raw Data - Suppliers'!G$2:G$36))</f>
        <v>0.66666666666666663</v>
      </c>
      <c r="H8">
        <f>('Raw Data - Suppliers'!H8-MIN('Raw Data - Suppliers'!H$2:H$36))/(MAX('Raw Data - Suppliers'!H$2:H$36)-MIN('Raw Data - Suppliers'!H$2:H$36))</f>
        <v>0.16666666666666666</v>
      </c>
      <c r="I8">
        <f>('Raw Data - Suppliers'!I8-MIN('Raw Data - Suppliers'!I$2:I$36))/(MAX('Raw Data - Suppliers'!I$2:I$36)-MIN('Raw Data - Suppliers'!I$2:I$36))</f>
        <v>0</v>
      </c>
      <c r="J8">
        <f>('Raw Data - Suppliers'!J8-MIN('Raw Data - Suppliers'!J$2:J$36))/(MAX('Raw Data - Suppliers'!J$2:J$36)-MIN('Raw Data - Suppliers'!J$2:J$36))</f>
        <v>0.2</v>
      </c>
      <c r="K8">
        <f>1-('Raw Data - Suppliers'!K8-MIN('Raw Data - Suppliers'!K$2:K$36))/(MAX('Raw Data - Suppliers'!K$2:K$36)-MIN('Raw Data - Suppliers'!K$2:K$36))</f>
        <v>0.6</v>
      </c>
      <c r="L8">
        <f>('Raw Data - Suppliers'!L8-MIN('Raw Data - Suppliers'!L$2:L$36))/(MAX('Raw Data - Suppliers'!L$2:L$36)-MIN('Raw Data - Suppliers'!L$2:L$36))</f>
        <v>0.33333333333333331</v>
      </c>
      <c r="M8">
        <f>1-('Raw Data - Suppliers'!M8-MIN('Raw Data - Suppliers'!M$2:M$36))/(MAX('Raw Data - Suppliers'!M$2:M$36)-MIN('Raw Data - Suppliers'!M$2:M$36))</f>
        <v>0.77073170731707319</v>
      </c>
    </row>
    <row r="9" spans="1:13" hidden="1" x14ac:dyDescent="0.3">
      <c r="A9">
        <f>'Raw Data - Suppliers'!A9</f>
        <v>8</v>
      </c>
      <c r="B9">
        <f>('Raw Data - Suppliers'!B9-MIN('Raw Data - Suppliers'!B$2:B$36))/(MAX('Raw Data - Suppliers'!B$2:B$36)-MIN('Raw Data - Suppliers'!B$2:B$36))</f>
        <v>0.33333333333333331</v>
      </c>
      <c r="C9">
        <f>('Raw Data - Suppliers'!C9-MIN('Raw Data - Suppliers'!C$2:C$36))/(MAX('Raw Data - Suppliers'!C$2:C$36)-MIN('Raw Data - Suppliers'!C$2:C$36))</f>
        <v>0.17333333333333334</v>
      </c>
      <c r="D9">
        <f>('Raw Data - Suppliers'!D9-MIN('Raw Data - Suppliers'!D$2:D$36))/(MAX('Raw Data - Suppliers'!D$2:D$36)-MIN('Raw Data - Suppliers'!D$2:D$36))</f>
        <v>0</v>
      </c>
      <c r="E9">
        <f>('Raw Data - Suppliers'!E9-MIN('Raw Data - Suppliers'!E$2:E$36))/(MAX('Raw Data - Suppliers'!E$2:E$36)-MIN('Raw Data - Suppliers'!E$2:E$36))</f>
        <v>0.5</v>
      </c>
      <c r="F9">
        <f>('Raw Data - Suppliers'!F9-MIN('Raw Data - Suppliers'!F$2:F$36))/(MAX('Raw Data - Suppliers'!F$2:F$36)-MIN('Raw Data - Suppliers'!F$2:F$36))</f>
        <v>0.2</v>
      </c>
      <c r="G9">
        <f>('Raw Data - Suppliers'!G9-MIN('Raw Data - Suppliers'!G$2:G$36))/(MAX('Raw Data - Suppliers'!G$2:G$36)-MIN('Raw Data - Suppliers'!G$2:G$36))</f>
        <v>0.33333333333333331</v>
      </c>
      <c r="H9">
        <f>('Raw Data - Suppliers'!H9-MIN('Raw Data - Suppliers'!H$2:H$36))/(MAX('Raw Data - Suppliers'!H$2:H$36)-MIN('Raw Data - Suppliers'!H$2:H$36))</f>
        <v>0.5</v>
      </c>
      <c r="I9">
        <f>('Raw Data - Suppliers'!I9-MIN('Raw Data - Suppliers'!I$2:I$36))/(MAX('Raw Data - Suppliers'!I$2:I$36)-MIN('Raw Data - Suppliers'!I$2:I$36))</f>
        <v>0.4</v>
      </c>
      <c r="J9">
        <f>('Raw Data - Suppliers'!J9-MIN('Raw Data - Suppliers'!J$2:J$36))/(MAX('Raw Data - Suppliers'!J$2:J$36)-MIN('Raw Data - Suppliers'!J$2:J$36))</f>
        <v>0</v>
      </c>
      <c r="K9">
        <f>1-('Raw Data - Suppliers'!K9-MIN('Raw Data - Suppliers'!K$2:K$36))/(MAX('Raw Data - Suppliers'!K$2:K$36)-MIN('Raw Data - Suppliers'!K$2:K$36))</f>
        <v>0.4</v>
      </c>
      <c r="L9">
        <f>('Raw Data - Suppliers'!L9-MIN('Raw Data - Suppliers'!L$2:L$36))/(MAX('Raw Data - Suppliers'!L$2:L$36)-MIN('Raw Data - Suppliers'!L$2:L$36))</f>
        <v>0.77777777777777779</v>
      </c>
      <c r="M9">
        <f>1-('Raw Data - Suppliers'!M9-MIN('Raw Data - Suppliers'!M$2:M$36))/(MAX('Raw Data - Suppliers'!M$2:M$36)-MIN('Raw Data - Suppliers'!M$2:M$36))</f>
        <v>0.69268292682926824</v>
      </c>
    </row>
    <row r="10" spans="1:13" x14ac:dyDescent="0.3">
      <c r="A10">
        <f>'Raw Data - Suppliers'!A10</f>
        <v>9</v>
      </c>
      <c r="B10">
        <f>('Raw Data - Suppliers'!B10-MIN('Raw Data - Suppliers'!B$2:B$36))/(MAX('Raw Data - Suppliers'!B$2:B$36)-MIN('Raw Data - Suppliers'!B$2:B$36))</f>
        <v>1</v>
      </c>
      <c r="C10">
        <f>('Raw Data - Suppliers'!C10-MIN('Raw Data - Suppliers'!C$2:C$36))/(MAX('Raw Data - Suppliers'!C$2:C$36)-MIN('Raw Data - Suppliers'!C$2:C$36))</f>
        <v>0.32</v>
      </c>
      <c r="D10">
        <f>('Raw Data - Suppliers'!D10-MIN('Raw Data - Suppliers'!D$2:D$36))/(MAX('Raw Data - Suppliers'!D$2:D$36)-MIN('Raw Data - Suppliers'!D$2:D$36))</f>
        <v>0.75</v>
      </c>
      <c r="E10">
        <f>('Raw Data - Suppliers'!E10-MIN('Raw Data - Suppliers'!E$2:E$36))/(MAX('Raw Data - Suppliers'!E$2:E$36)-MIN('Raw Data - Suppliers'!E$2:E$36))</f>
        <v>1</v>
      </c>
      <c r="F10">
        <f>('Raw Data - Suppliers'!F10-MIN('Raw Data - Suppliers'!F$2:F$36))/(MAX('Raw Data - Suppliers'!F$2:F$36)-MIN('Raw Data - Suppliers'!F$2:F$36))</f>
        <v>0.8</v>
      </c>
      <c r="G10">
        <f>('Raw Data - Suppliers'!G10-MIN('Raw Data - Suppliers'!G$2:G$36))/(MAX('Raw Data - Suppliers'!G$2:G$36)-MIN('Raw Data - Suppliers'!G$2:G$36))</f>
        <v>1</v>
      </c>
      <c r="H10">
        <f>('Raw Data - Suppliers'!H10-MIN('Raw Data - Suppliers'!H$2:H$36))/(MAX('Raw Data - Suppliers'!H$2:H$36)-MIN('Raw Data - Suppliers'!H$2:H$36))</f>
        <v>0.83333333333333337</v>
      </c>
      <c r="I10">
        <f>('Raw Data - Suppliers'!I10-MIN('Raw Data - Suppliers'!I$2:I$36))/(MAX('Raw Data - Suppliers'!I$2:I$36)-MIN('Raw Data - Suppliers'!I$2:I$36))</f>
        <v>0.6</v>
      </c>
      <c r="J10">
        <f>('Raw Data - Suppliers'!J10-MIN('Raw Data - Suppliers'!J$2:J$36))/(MAX('Raw Data - Suppliers'!J$2:J$36)-MIN('Raw Data - Suppliers'!J$2:J$36))</f>
        <v>0.2</v>
      </c>
      <c r="K10">
        <f>1-('Raw Data - Suppliers'!K10-MIN('Raw Data - Suppliers'!K$2:K$36))/(MAX('Raw Data - Suppliers'!K$2:K$36)-MIN('Raw Data - Suppliers'!K$2:K$36))</f>
        <v>0.4</v>
      </c>
      <c r="L10">
        <f>('Raw Data - Suppliers'!L10-MIN('Raw Data - Suppliers'!L$2:L$36))/(MAX('Raw Data - Suppliers'!L$2:L$36)-MIN('Raw Data - Suppliers'!L$2:L$36))</f>
        <v>0.55555555555555558</v>
      </c>
      <c r="M10">
        <f>1-('Raw Data - Suppliers'!M10-MIN('Raw Data - Suppliers'!M$2:M$36))/(MAX('Raw Data - Suppliers'!M$2:M$36)-MIN('Raw Data - Suppliers'!M$2:M$36))</f>
        <v>0.48780487804878048</v>
      </c>
    </row>
    <row r="11" spans="1:13" hidden="1" x14ac:dyDescent="0.3">
      <c r="A11">
        <f>'Raw Data - Suppliers'!A11</f>
        <v>10</v>
      </c>
      <c r="B11">
        <f>('Raw Data - Suppliers'!B11-MIN('Raw Data - Suppliers'!B$2:B$36))/(MAX('Raw Data - Suppliers'!B$2:B$36)-MIN('Raw Data - Suppliers'!B$2:B$36))</f>
        <v>0.66666666666666663</v>
      </c>
      <c r="C11">
        <f>('Raw Data - Suppliers'!C11-MIN('Raw Data - Suppliers'!C$2:C$36))/(MAX('Raw Data - Suppliers'!C$2:C$36)-MIN('Raw Data - Suppliers'!C$2:C$36))</f>
        <v>0.16</v>
      </c>
      <c r="D11">
        <f>('Raw Data - Suppliers'!D11-MIN('Raw Data - Suppliers'!D$2:D$36))/(MAX('Raw Data - Suppliers'!D$2:D$36)-MIN('Raw Data - Suppliers'!D$2:D$36))</f>
        <v>0.75</v>
      </c>
      <c r="E11">
        <f>('Raw Data - Suppliers'!E11-MIN('Raw Data - Suppliers'!E$2:E$36))/(MAX('Raw Data - Suppliers'!E$2:E$36)-MIN('Raw Data - Suppliers'!E$2:E$36))</f>
        <v>1</v>
      </c>
      <c r="F11">
        <f>('Raw Data - Suppliers'!F11-MIN('Raw Data - Suppliers'!F$2:F$36))/(MAX('Raw Data - Suppliers'!F$2:F$36)-MIN('Raw Data - Suppliers'!F$2:F$36))</f>
        <v>0.8</v>
      </c>
      <c r="G11">
        <f>('Raw Data - Suppliers'!G11-MIN('Raw Data - Suppliers'!G$2:G$36))/(MAX('Raw Data - Suppliers'!G$2:G$36)-MIN('Raw Data - Suppliers'!G$2:G$36))</f>
        <v>0.33333333333333331</v>
      </c>
      <c r="H11">
        <f>('Raw Data - Suppliers'!H11-MIN('Raw Data - Suppliers'!H$2:H$36))/(MAX('Raw Data - Suppliers'!H$2:H$36)-MIN('Raw Data - Suppliers'!H$2:H$36))</f>
        <v>0.83333333333333337</v>
      </c>
      <c r="I11">
        <f>('Raw Data - Suppliers'!I11-MIN('Raw Data - Suppliers'!I$2:I$36))/(MAX('Raw Data - Suppliers'!I$2:I$36)-MIN('Raw Data - Suppliers'!I$2:I$36))</f>
        <v>0.6</v>
      </c>
      <c r="J11">
        <f>('Raw Data - Suppliers'!J11-MIN('Raw Data - Suppliers'!J$2:J$36))/(MAX('Raw Data - Suppliers'!J$2:J$36)-MIN('Raw Data - Suppliers'!J$2:J$36))</f>
        <v>0.4</v>
      </c>
      <c r="K11">
        <f>1-('Raw Data - Suppliers'!K11-MIN('Raw Data - Suppliers'!K$2:K$36))/(MAX('Raw Data - Suppliers'!K$2:K$36)-MIN('Raw Data - Suppliers'!K$2:K$36))</f>
        <v>0.19999999999999996</v>
      </c>
      <c r="L11">
        <f>('Raw Data - Suppliers'!L11-MIN('Raw Data - Suppliers'!L$2:L$36))/(MAX('Raw Data - Suppliers'!L$2:L$36)-MIN('Raw Data - Suppliers'!L$2:L$36))</f>
        <v>0.1111111111111111</v>
      </c>
      <c r="M11">
        <f>1-('Raw Data - Suppliers'!M11-MIN('Raw Data - Suppliers'!M$2:M$36))/(MAX('Raw Data - Suppliers'!M$2:M$36)-MIN('Raw Data - Suppliers'!M$2:M$36))</f>
        <v>0.82926829268292679</v>
      </c>
    </row>
    <row r="12" spans="1:13" hidden="1" x14ac:dyDescent="0.3">
      <c r="A12">
        <f>'Raw Data - Suppliers'!A12</f>
        <v>11</v>
      </c>
      <c r="B12">
        <f>('Raw Data - Suppliers'!B12-MIN('Raw Data - Suppliers'!B$2:B$36))/(MAX('Raw Data - Suppliers'!B$2:B$36)-MIN('Raw Data - Suppliers'!B$2:B$36))</f>
        <v>1</v>
      </c>
      <c r="C12">
        <f>('Raw Data - Suppliers'!C12-MIN('Raw Data - Suppliers'!C$2:C$36))/(MAX('Raw Data - Suppliers'!C$2:C$36)-MIN('Raw Data - Suppliers'!C$2:C$36))</f>
        <v>0</v>
      </c>
      <c r="D12">
        <f>('Raw Data - Suppliers'!D12-MIN('Raw Data - Suppliers'!D$2:D$36))/(MAX('Raw Data - Suppliers'!D$2:D$36)-MIN('Raw Data - Suppliers'!D$2:D$36))</f>
        <v>0.75</v>
      </c>
      <c r="E12">
        <f>('Raw Data - Suppliers'!E12-MIN('Raw Data - Suppliers'!E$2:E$36))/(MAX('Raw Data - Suppliers'!E$2:E$36)-MIN('Raw Data - Suppliers'!E$2:E$36))</f>
        <v>0.33333333333333331</v>
      </c>
      <c r="F12">
        <f>('Raw Data - Suppliers'!F12-MIN('Raw Data - Suppliers'!F$2:F$36))/(MAX('Raw Data - Suppliers'!F$2:F$36)-MIN('Raw Data - Suppliers'!F$2:F$36))</f>
        <v>0.4</v>
      </c>
      <c r="G12">
        <f>('Raw Data - Suppliers'!G12-MIN('Raw Data - Suppliers'!G$2:G$36))/(MAX('Raw Data - Suppliers'!G$2:G$36)-MIN('Raw Data - Suppliers'!G$2:G$36))</f>
        <v>0.66666666666666663</v>
      </c>
      <c r="H12">
        <f>('Raw Data - Suppliers'!H12-MIN('Raw Data - Suppliers'!H$2:H$36))/(MAX('Raw Data - Suppliers'!H$2:H$36)-MIN('Raw Data - Suppliers'!H$2:H$36))</f>
        <v>0.5</v>
      </c>
      <c r="I12">
        <f>('Raw Data - Suppliers'!I12-MIN('Raw Data - Suppliers'!I$2:I$36))/(MAX('Raw Data - Suppliers'!I$2:I$36)-MIN('Raw Data - Suppliers'!I$2:I$36))</f>
        <v>0.8</v>
      </c>
      <c r="J12">
        <f>('Raw Data - Suppliers'!J12-MIN('Raw Data - Suppliers'!J$2:J$36))/(MAX('Raw Data - Suppliers'!J$2:J$36)-MIN('Raw Data - Suppliers'!J$2:J$36))</f>
        <v>0.6</v>
      </c>
      <c r="K12">
        <f>1-('Raw Data - Suppliers'!K12-MIN('Raw Data - Suppliers'!K$2:K$36))/(MAX('Raw Data - Suppliers'!K$2:K$36)-MIN('Raw Data - Suppliers'!K$2:K$36))</f>
        <v>0.6</v>
      </c>
      <c r="L12">
        <f>('Raw Data - Suppliers'!L12-MIN('Raw Data - Suppliers'!L$2:L$36))/(MAX('Raw Data - Suppliers'!L$2:L$36)-MIN('Raw Data - Suppliers'!L$2:L$36))</f>
        <v>0.33333333333333331</v>
      </c>
      <c r="M12">
        <f>1-('Raw Data - Suppliers'!M12-MIN('Raw Data - Suppliers'!M$2:M$36))/(MAX('Raw Data - Suppliers'!M$2:M$36)-MIN('Raw Data - Suppliers'!M$2:M$36))</f>
        <v>0.85365853658536583</v>
      </c>
    </row>
    <row r="13" spans="1:13" hidden="1" x14ac:dyDescent="0.3">
      <c r="A13">
        <f>'Raw Data - Suppliers'!A13</f>
        <v>12</v>
      </c>
      <c r="B13">
        <f>('Raw Data - Suppliers'!B13-MIN('Raw Data - Suppliers'!B$2:B$36))/(MAX('Raw Data - Suppliers'!B$2:B$36)-MIN('Raw Data - Suppliers'!B$2:B$36))</f>
        <v>0</v>
      </c>
      <c r="C13">
        <f>('Raw Data - Suppliers'!C13-MIN('Raw Data - Suppliers'!C$2:C$36))/(MAX('Raw Data - Suppliers'!C$2:C$36)-MIN('Raw Data - Suppliers'!C$2:C$36))</f>
        <v>0.53333333333333333</v>
      </c>
      <c r="D13">
        <f>('Raw Data - Suppliers'!D13-MIN('Raw Data - Suppliers'!D$2:D$36))/(MAX('Raw Data - Suppliers'!D$2:D$36)-MIN('Raw Data - Suppliers'!D$2:D$36))</f>
        <v>1</v>
      </c>
      <c r="E13">
        <f>('Raw Data - Suppliers'!E13-MIN('Raw Data - Suppliers'!E$2:E$36))/(MAX('Raw Data - Suppliers'!E$2:E$36)-MIN('Raw Data - Suppliers'!E$2:E$36))</f>
        <v>0.66666666666666663</v>
      </c>
      <c r="F13">
        <f>('Raw Data - Suppliers'!F13-MIN('Raw Data - Suppliers'!F$2:F$36))/(MAX('Raw Data - Suppliers'!F$2:F$36)-MIN('Raw Data - Suppliers'!F$2:F$36))</f>
        <v>0.4</v>
      </c>
      <c r="G13">
        <f>('Raw Data - Suppliers'!G13-MIN('Raw Data - Suppliers'!G$2:G$36))/(MAX('Raw Data - Suppliers'!G$2:G$36)-MIN('Raw Data - Suppliers'!G$2:G$36))</f>
        <v>0</v>
      </c>
      <c r="H13">
        <f>('Raw Data - Suppliers'!H13-MIN('Raw Data - Suppliers'!H$2:H$36))/(MAX('Raw Data - Suppliers'!H$2:H$36)-MIN('Raw Data - Suppliers'!H$2:H$36))</f>
        <v>0.5</v>
      </c>
      <c r="I13">
        <f>('Raw Data - Suppliers'!I13-MIN('Raw Data - Suppliers'!I$2:I$36))/(MAX('Raw Data - Suppliers'!I$2:I$36)-MIN('Raw Data - Suppliers'!I$2:I$36))</f>
        <v>0.4</v>
      </c>
      <c r="J13">
        <f>('Raw Data - Suppliers'!J13-MIN('Raw Data - Suppliers'!J$2:J$36))/(MAX('Raw Data - Suppliers'!J$2:J$36)-MIN('Raw Data - Suppliers'!J$2:J$36))</f>
        <v>0.8</v>
      </c>
      <c r="K13">
        <f>1-('Raw Data - Suppliers'!K13-MIN('Raw Data - Suppliers'!K$2:K$36))/(MAX('Raw Data - Suppliers'!K$2:K$36)-MIN('Raw Data - Suppliers'!K$2:K$36))</f>
        <v>0</v>
      </c>
      <c r="L13">
        <f>('Raw Data - Suppliers'!L13-MIN('Raw Data - Suppliers'!L$2:L$36))/(MAX('Raw Data - Suppliers'!L$2:L$36)-MIN('Raw Data - Suppliers'!L$2:L$36))</f>
        <v>0.33333333333333331</v>
      </c>
      <c r="M13">
        <f>1-('Raw Data - Suppliers'!M13-MIN('Raw Data - Suppliers'!M$2:M$36))/(MAX('Raw Data - Suppliers'!M$2:M$36)-MIN('Raw Data - Suppliers'!M$2:M$36))</f>
        <v>0.75609756097560976</v>
      </c>
    </row>
    <row r="14" spans="1:13" hidden="1" x14ac:dyDescent="0.3">
      <c r="A14">
        <f>'Raw Data - Suppliers'!A14</f>
        <v>13</v>
      </c>
      <c r="B14">
        <f>('Raw Data - Suppliers'!B14-MIN('Raw Data - Suppliers'!B$2:B$36))/(MAX('Raw Data - Suppliers'!B$2:B$36)-MIN('Raw Data - Suppliers'!B$2:B$36))</f>
        <v>0.33333333333333331</v>
      </c>
      <c r="C14">
        <f>('Raw Data - Suppliers'!C14-MIN('Raw Data - Suppliers'!C$2:C$36))/(MAX('Raw Data - Suppliers'!C$2:C$36)-MIN('Raw Data - Suppliers'!C$2:C$36))</f>
        <v>9.3333333333333338E-2</v>
      </c>
      <c r="D14">
        <f>('Raw Data - Suppliers'!D14-MIN('Raw Data - Suppliers'!D$2:D$36))/(MAX('Raw Data - Suppliers'!D$2:D$36)-MIN('Raw Data - Suppliers'!D$2:D$36))</f>
        <v>1</v>
      </c>
      <c r="E14">
        <f>('Raw Data - Suppliers'!E14-MIN('Raw Data - Suppliers'!E$2:E$36))/(MAX('Raw Data - Suppliers'!E$2:E$36)-MIN('Raw Data - Suppliers'!E$2:E$36))</f>
        <v>0.66666666666666663</v>
      </c>
      <c r="F14">
        <f>('Raw Data - Suppliers'!F14-MIN('Raw Data - Suppliers'!F$2:F$36))/(MAX('Raw Data - Suppliers'!F$2:F$36)-MIN('Raw Data - Suppliers'!F$2:F$36))</f>
        <v>0.8</v>
      </c>
      <c r="G14">
        <f>('Raw Data - Suppliers'!G14-MIN('Raw Data - Suppliers'!G$2:G$36))/(MAX('Raw Data - Suppliers'!G$2:G$36)-MIN('Raw Data - Suppliers'!G$2:G$36))</f>
        <v>0.33333333333333331</v>
      </c>
      <c r="H14">
        <f>('Raw Data - Suppliers'!H14-MIN('Raw Data - Suppliers'!H$2:H$36))/(MAX('Raw Data - Suppliers'!H$2:H$36)-MIN('Raw Data - Suppliers'!H$2:H$36))</f>
        <v>0.83333333333333337</v>
      </c>
      <c r="I14">
        <f>('Raw Data - Suppliers'!I14-MIN('Raw Data - Suppliers'!I$2:I$36))/(MAX('Raw Data - Suppliers'!I$2:I$36)-MIN('Raw Data - Suppliers'!I$2:I$36))</f>
        <v>1</v>
      </c>
      <c r="J14">
        <f>('Raw Data - Suppliers'!J14-MIN('Raw Data - Suppliers'!J$2:J$36))/(MAX('Raw Data - Suppliers'!J$2:J$36)-MIN('Raw Data - Suppliers'!J$2:J$36))</f>
        <v>1</v>
      </c>
      <c r="K14">
        <f>1-('Raw Data - Suppliers'!K14-MIN('Raw Data - Suppliers'!K$2:K$36))/(MAX('Raw Data - Suppliers'!K$2:K$36)-MIN('Raw Data - Suppliers'!K$2:K$36))</f>
        <v>0.8</v>
      </c>
      <c r="L14">
        <f>('Raw Data - Suppliers'!L14-MIN('Raw Data - Suppliers'!L$2:L$36))/(MAX('Raw Data - Suppliers'!L$2:L$36)-MIN('Raw Data - Suppliers'!L$2:L$36))</f>
        <v>0.1111111111111111</v>
      </c>
      <c r="M14">
        <f>1-('Raw Data - Suppliers'!M14-MIN('Raw Data - Suppliers'!M$2:M$36))/(MAX('Raw Data - Suppliers'!M$2:M$36)-MIN('Raw Data - Suppliers'!M$2:M$36))</f>
        <v>0.68292682926829262</v>
      </c>
    </row>
    <row r="15" spans="1:13" x14ac:dyDescent="0.3">
      <c r="A15">
        <f>'Raw Data - Suppliers'!A15</f>
        <v>14</v>
      </c>
      <c r="B15">
        <f>('Raw Data - Suppliers'!B15-MIN('Raw Data - Suppliers'!B$2:B$36))/(MAX('Raw Data - Suppliers'!B$2:B$36)-MIN('Raw Data - Suppliers'!B$2:B$36))</f>
        <v>0.66666666666666663</v>
      </c>
      <c r="C15">
        <f>('Raw Data - Suppliers'!C15-MIN('Raw Data - Suppliers'!C$2:C$36))/(MAX('Raw Data - Suppliers'!C$2:C$36)-MIN('Raw Data - Suppliers'!C$2:C$36))</f>
        <v>0.44</v>
      </c>
      <c r="D15">
        <f>('Raw Data - Suppliers'!D15-MIN('Raw Data - Suppliers'!D$2:D$36))/(MAX('Raw Data - Suppliers'!D$2:D$36)-MIN('Raw Data - Suppliers'!D$2:D$36))</f>
        <v>1</v>
      </c>
      <c r="E15">
        <f>('Raw Data - Suppliers'!E15-MIN('Raw Data - Suppliers'!E$2:E$36))/(MAX('Raw Data - Suppliers'!E$2:E$36)-MIN('Raw Data - Suppliers'!E$2:E$36))</f>
        <v>0.83333333333333337</v>
      </c>
      <c r="F15">
        <f>('Raw Data - Suppliers'!F15-MIN('Raw Data - Suppliers'!F$2:F$36))/(MAX('Raw Data - Suppliers'!F$2:F$36)-MIN('Raw Data - Suppliers'!F$2:F$36))</f>
        <v>0.6</v>
      </c>
      <c r="G15">
        <f>('Raw Data - Suppliers'!G15-MIN('Raw Data - Suppliers'!G$2:G$36))/(MAX('Raw Data - Suppliers'!G$2:G$36)-MIN('Raw Data - Suppliers'!G$2:G$36))</f>
        <v>0.66666666666666663</v>
      </c>
      <c r="H15">
        <f>('Raw Data - Suppliers'!H15-MIN('Raw Data - Suppliers'!H$2:H$36))/(MAX('Raw Data - Suppliers'!H$2:H$36)-MIN('Raw Data - Suppliers'!H$2:H$36))</f>
        <v>0.66666666666666663</v>
      </c>
      <c r="I15">
        <f>('Raw Data - Suppliers'!I15-MIN('Raw Data - Suppliers'!I$2:I$36))/(MAX('Raw Data - Suppliers'!I$2:I$36)-MIN('Raw Data - Suppliers'!I$2:I$36))</f>
        <v>0.6</v>
      </c>
      <c r="J15">
        <f>('Raw Data - Suppliers'!J15-MIN('Raw Data - Suppliers'!J$2:J$36))/(MAX('Raw Data - Suppliers'!J$2:J$36)-MIN('Raw Data - Suppliers'!J$2:J$36))</f>
        <v>0.6</v>
      </c>
      <c r="K15">
        <f>1-('Raw Data - Suppliers'!K15-MIN('Raw Data - Suppliers'!K$2:K$36))/(MAX('Raw Data - Suppliers'!K$2:K$36)-MIN('Raw Data - Suppliers'!K$2:K$36))</f>
        <v>0.6</v>
      </c>
      <c r="L15">
        <f>('Raw Data - Suppliers'!L15-MIN('Raw Data - Suppliers'!L$2:L$36))/(MAX('Raw Data - Suppliers'!L$2:L$36)-MIN('Raw Data - Suppliers'!L$2:L$36))</f>
        <v>0.55555555555555558</v>
      </c>
      <c r="M15">
        <f>1-('Raw Data - Suppliers'!M15-MIN('Raw Data - Suppliers'!M$2:M$36))/(MAX('Raw Data - Suppliers'!M$2:M$36)-MIN('Raw Data - Suppliers'!M$2:M$36))</f>
        <v>0.63414634146341464</v>
      </c>
    </row>
    <row r="16" spans="1:13" hidden="1" x14ac:dyDescent="0.3">
      <c r="A16">
        <f>'Raw Data - Suppliers'!A16</f>
        <v>15</v>
      </c>
      <c r="B16">
        <f>('Raw Data - Suppliers'!B16-MIN('Raw Data - Suppliers'!B$2:B$36))/(MAX('Raw Data - Suppliers'!B$2:B$36)-MIN('Raw Data - Suppliers'!B$2:B$36))</f>
        <v>0.33333333333333331</v>
      </c>
      <c r="C16">
        <f>('Raw Data - Suppliers'!C16-MIN('Raw Data - Suppliers'!C$2:C$36))/(MAX('Raw Data - Suppliers'!C$2:C$36)-MIN('Raw Data - Suppliers'!C$2:C$36))</f>
        <v>0.30666666666666664</v>
      </c>
      <c r="D16">
        <f>('Raw Data - Suppliers'!D16-MIN('Raw Data - Suppliers'!D$2:D$36))/(MAX('Raw Data - Suppliers'!D$2:D$36)-MIN('Raw Data - Suppliers'!D$2:D$36))</f>
        <v>0.5</v>
      </c>
      <c r="E16">
        <f>('Raw Data - Suppliers'!E16-MIN('Raw Data - Suppliers'!E$2:E$36))/(MAX('Raw Data - Suppliers'!E$2:E$36)-MIN('Raw Data - Suppliers'!E$2:E$36))</f>
        <v>0.5</v>
      </c>
      <c r="F16">
        <f>('Raw Data - Suppliers'!F16-MIN('Raw Data - Suppliers'!F$2:F$36))/(MAX('Raw Data - Suppliers'!F$2:F$36)-MIN('Raw Data - Suppliers'!F$2:F$36))</f>
        <v>0.4</v>
      </c>
      <c r="G16">
        <f>('Raw Data - Suppliers'!G16-MIN('Raw Data - Suppliers'!G$2:G$36))/(MAX('Raw Data - Suppliers'!G$2:G$36)-MIN('Raw Data - Suppliers'!G$2:G$36))</f>
        <v>0.66666666666666663</v>
      </c>
      <c r="H16">
        <f>('Raw Data - Suppliers'!H16-MIN('Raw Data - Suppliers'!H$2:H$36))/(MAX('Raw Data - Suppliers'!H$2:H$36)-MIN('Raw Data - Suppliers'!H$2:H$36))</f>
        <v>0.5</v>
      </c>
      <c r="I16">
        <f>('Raw Data - Suppliers'!I16-MIN('Raw Data - Suppliers'!I$2:I$36))/(MAX('Raw Data - Suppliers'!I$2:I$36)-MIN('Raw Data - Suppliers'!I$2:I$36))</f>
        <v>0.4</v>
      </c>
      <c r="J16">
        <f>('Raw Data - Suppliers'!J16-MIN('Raw Data - Suppliers'!J$2:J$36))/(MAX('Raw Data - Suppliers'!J$2:J$36)-MIN('Raw Data - Suppliers'!J$2:J$36))</f>
        <v>0.2</v>
      </c>
      <c r="K16">
        <f>1-('Raw Data - Suppliers'!K16-MIN('Raw Data - Suppliers'!K$2:K$36))/(MAX('Raw Data - Suppliers'!K$2:K$36)-MIN('Raw Data - Suppliers'!K$2:K$36))</f>
        <v>0.8</v>
      </c>
      <c r="L16">
        <f>('Raw Data - Suppliers'!L16-MIN('Raw Data - Suppliers'!L$2:L$36))/(MAX('Raw Data - Suppliers'!L$2:L$36)-MIN('Raw Data - Suppliers'!L$2:L$36))</f>
        <v>0.77777777777777779</v>
      </c>
      <c r="M16">
        <f>1-('Raw Data - Suppliers'!M16-MIN('Raw Data - Suppliers'!M$2:M$36))/(MAX('Raw Data - Suppliers'!M$2:M$36)-MIN('Raw Data - Suppliers'!M$2:M$36))</f>
        <v>0.34146341463414631</v>
      </c>
    </row>
    <row r="17" spans="1:13" hidden="1" x14ac:dyDescent="0.3">
      <c r="A17">
        <f>'Raw Data - Suppliers'!A17</f>
        <v>16</v>
      </c>
      <c r="B17">
        <f>('Raw Data - Suppliers'!B17-MIN('Raw Data - Suppliers'!B$2:B$36))/(MAX('Raw Data - Suppliers'!B$2:B$36)-MIN('Raw Data - Suppliers'!B$2:B$36))</f>
        <v>1</v>
      </c>
      <c r="C17">
        <f>('Raw Data - Suppliers'!C17-MIN('Raw Data - Suppliers'!C$2:C$36))/(MAX('Raw Data - Suppliers'!C$2:C$36)-MIN('Raw Data - Suppliers'!C$2:C$36))</f>
        <v>0.70666666666666667</v>
      </c>
      <c r="D17">
        <f>('Raw Data - Suppliers'!D17-MIN('Raw Data - Suppliers'!D$2:D$36))/(MAX('Raw Data - Suppliers'!D$2:D$36)-MIN('Raw Data - Suppliers'!D$2:D$36))</f>
        <v>0.25</v>
      </c>
      <c r="E17">
        <f>('Raw Data - Suppliers'!E17-MIN('Raw Data - Suppliers'!E$2:E$36))/(MAX('Raw Data - Suppliers'!E$2:E$36)-MIN('Raw Data - Suppliers'!E$2:E$36))</f>
        <v>0.66666666666666663</v>
      </c>
      <c r="F17">
        <f>('Raw Data - Suppliers'!F17-MIN('Raw Data - Suppliers'!F$2:F$36))/(MAX('Raw Data - Suppliers'!F$2:F$36)-MIN('Raw Data - Suppliers'!F$2:F$36))</f>
        <v>0.6</v>
      </c>
      <c r="G17">
        <f>('Raw Data - Suppliers'!G17-MIN('Raw Data - Suppliers'!G$2:G$36))/(MAX('Raw Data - Suppliers'!G$2:G$36)-MIN('Raw Data - Suppliers'!G$2:G$36))</f>
        <v>0.33333333333333331</v>
      </c>
      <c r="H17">
        <f>('Raw Data - Suppliers'!H17-MIN('Raw Data - Suppliers'!H$2:H$36))/(MAX('Raw Data - Suppliers'!H$2:H$36)-MIN('Raw Data - Suppliers'!H$2:H$36))</f>
        <v>0.66666666666666663</v>
      </c>
      <c r="I17">
        <f>('Raw Data - Suppliers'!I17-MIN('Raw Data - Suppliers'!I$2:I$36))/(MAX('Raw Data - Suppliers'!I$2:I$36)-MIN('Raw Data - Suppliers'!I$2:I$36))</f>
        <v>1</v>
      </c>
      <c r="J17">
        <f>('Raw Data - Suppliers'!J17-MIN('Raw Data - Suppliers'!J$2:J$36))/(MAX('Raw Data - Suppliers'!J$2:J$36)-MIN('Raw Data - Suppliers'!J$2:J$36))</f>
        <v>0.4</v>
      </c>
      <c r="K17">
        <f>1-('Raw Data - Suppliers'!K17-MIN('Raw Data - Suppliers'!K$2:K$36))/(MAX('Raw Data - Suppliers'!K$2:K$36)-MIN('Raw Data - Suppliers'!K$2:K$36))</f>
        <v>0.4</v>
      </c>
      <c r="L17">
        <f>('Raw Data - Suppliers'!L17-MIN('Raw Data - Suppliers'!L$2:L$36))/(MAX('Raw Data - Suppliers'!L$2:L$36)-MIN('Raw Data - Suppliers'!L$2:L$36))</f>
        <v>0.55555555555555558</v>
      </c>
      <c r="M17">
        <f>1-('Raw Data - Suppliers'!M17-MIN('Raw Data - Suppliers'!M$2:M$36))/(MAX('Raw Data - Suppliers'!M$2:M$36)-MIN('Raw Data - Suppliers'!M$2:M$36))</f>
        <v>0</v>
      </c>
    </row>
    <row r="18" spans="1:13" hidden="1" x14ac:dyDescent="0.3">
      <c r="A18">
        <f>'Raw Data - Suppliers'!A18</f>
        <v>17</v>
      </c>
      <c r="B18">
        <f>('Raw Data - Suppliers'!B18-MIN('Raw Data - Suppliers'!B$2:B$36))/(MAX('Raw Data - Suppliers'!B$2:B$36)-MIN('Raw Data - Suppliers'!B$2:B$36))</f>
        <v>0</v>
      </c>
      <c r="C18">
        <f>('Raw Data - Suppliers'!C18-MIN('Raw Data - Suppliers'!C$2:C$36))/(MAX('Raw Data - Suppliers'!C$2:C$36)-MIN('Raw Data - Suppliers'!C$2:C$36))</f>
        <v>1</v>
      </c>
      <c r="D18">
        <f>('Raw Data - Suppliers'!D18-MIN('Raw Data - Suppliers'!D$2:D$36))/(MAX('Raw Data - Suppliers'!D$2:D$36)-MIN('Raw Data - Suppliers'!D$2:D$36))</f>
        <v>0.5</v>
      </c>
      <c r="E18">
        <f>('Raw Data - Suppliers'!E18-MIN('Raw Data - Suppliers'!E$2:E$36))/(MAX('Raw Data - Suppliers'!E$2:E$36)-MIN('Raw Data - Suppliers'!E$2:E$36))</f>
        <v>0.83333333333333337</v>
      </c>
      <c r="F18">
        <f>('Raw Data - Suppliers'!F18-MIN('Raw Data - Suppliers'!F$2:F$36))/(MAX('Raw Data - Suppliers'!F$2:F$36)-MIN('Raw Data - Suppliers'!F$2:F$36))</f>
        <v>1</v>
      </c>
      <c r="G18">
        <f>('Raw Data - Suppliers'!G18-MIN('Raw Data - Suppliers'!G$2:G$36))/(MAX('Raw Data - Suppliers'!G$2:G$36)-MIN('Raw Data - Suppliers'!G$2:G$36))</f>
        <v>1</v>
      </c>
      <c r="H18">
        <f>('Raw Data - Suppliers'!H18-MIN('Raw Data - Suppliers'!H$2:H$36))/(MAX('Raw Data - Suppliers'!H$2:H$36)-MIN('Raw Data - Suppliers'!H$2:H$36))</f>
        <v>0.16666666666666666</v>
      </c>
      <c r="I18">
        <f>('Raw Data - Suppliers'!I18-MIN('Raw Data - Suppliers'!I$2:I$36))/(MAX('Raw Data - Suppliers'!I$2:I$36)-MIN('Raw Data - Suppliers'!I$2:I$36))</f>
        <v>0</v>
      </c>
      <c r="J18">
        <f>('Raw Data - Suppliers'!J18-MIN('Raw Data - Suppliers'!J$2:J$36))/(MAX('Raw Data - Suppliers'!J$2:J$36)-MIN('Raw Data - Suppliers'!J$2:J$36))</f>
        <v>0</v>
      </c>
      <c r="K18">
        <f>1-('Raw Data - Suppliers'!K18-MIN('Raw Data - Suppliers'!K$2:K$36))/(MAX('Raw Data - Suppliers'!K$2:K$36)-MIN('Raw Data - Suppliers'!K$2:K$36))</f>
        <v>0.8</v>
      </c>
      <c r="L18">
        <f>('Raw Data - Suppliers'!L18-MIN('Raw Data - Suppliers'!L$2:L$36))/(MAX('Raw Data - Suppliers'!L$2:L$36)-MIN('Raw Data - Suppliers'!L$2:L$36))</f>
        <v>0.1111111111111111</v>
      </c>
      <c r="M18">
        <f>1-('Raw Data - Suppliers'!M18-MIN('Raw Data - Suppliers'!M$2:M$36))/(MAX('Raw Data - Suppliers'!M$2:M$36)-MIN('Raw Data - Suppliers'!M$2:M$36))</f>
        <v>0.92682926829268297</v>
      </c>
    </row>
    <row r="19" spans="1:13" hidden="1" x14ac:dyDescent="0.3">
      <c r="A19">
        <f>'Raw Data - Suppliers'!A19</f>
        <v>18</v>
      </c>
      <c r="B19">
        <f>('Raw Data - Suppliers'!B19-MIN('Raw Data - Suppliers'!B$2:B$36))/(MAX('Raw Data - Suppliers'!B$2:B$36)-MIN('Raw Data - Suppliers'!B$2:B$36))</f>
        <v>0.66666666666666663</v>
      </c>
      <c r="C19">
        <f>('Raw Data - Suppliers'!C19-MIN('Raw Data - Suppliers'!C$2:C$36))/(MAX('Raw Data - Suppliers'!C$2:C$36)-MIN('Raw Data - Suppliers'!C$2:C$36))</f>
        <v>0.30666666666666664</v>
      </c>
      <c r="D19">
        <f>('Raw Data - Suppliers'!D19-MIN('Raw Data - Suppliers'!D$2:D$36))/(MAX('Raw Data - Suppliers'!D$2:D$36)-MIN('Raw Data - Suppliers'!D$2:D$36))</f>
        <v>0</v>
      </c>
      <c r="E19">
        <f>('Raw Data - Suppliers'!E19-MIN('Raw Data - Suppliers'!E$2:E$36))/(MAX('Raw Data - Suppliers'!E$2:E$36)-MIN('Raw Data - Suppliers'!E$2:E$36))</f>
        <v>0.5</v>
      </c>
      <c r="F19">
        <f>('Raw Data - Suppliers'!F19-MIN('Raw Data - Suppliers'!F$2:F$36))/(MAX('Raw Data - Suppliers'!F$2:F$36)-MIN('Raw Data - Suppliers'!F$2:F$36))</f>
        <v>0.2</v>
      </c>
      <c r="G19">
        <f>('Raw Data - Suppliers'!G19-MIN('Raw Data - Suppliers'!G$2:G$36))/(MAX('Raw Data - Suppliers'!G$2:G$36)-MIN('Raw Data - Suppliers'!G$2:G$36))</f>
        <v>0.33333333333333331</v>
      </c>
      <c r="H19">
        <f>('Raw Data - Suppliers'!H19-MIN('Raw Data - Suppliers'!H$2:H$36))/(MAX('Raw Data - Suppliers'!H$2:H$36)-MIN('Raw Data - Suppliers'!H$2:H$36))</f>
        <v>0.33333333333333331</v>
      </c>
      <c r="I19">
        <f>('Raw Data - Suppliers'!I19-MIN('Raw Data - Suppliers'!I$2:I$36))/(MAX('Raw Data - Suppliers'!I$2:I$36)-MIN('Raw Data - Suppliers'!I$2:I$36))</f>
        <v>0.2</v>
      </c>
      <c r="J19">
        <f>('Raw Data - Suppliers'!J19-MIN('Raw Data - Suppliers'!J$2:J$36))/(MAX('Raw Data - Suppliers'!J$2:J$36)-MIN('Raw Data - Suppliers'!J$2:J$36))</f>
        <v>0.2</v>
      </c>
      <c r="K19">
        <f>1-('Raw Data - Suppliers'!K19-MIN('Raw Data - Suppliers'!K$2:K$36))/(MAX('Raw Data - Suppliers'!K$2:K$36)-MIN('Raw Data - Suppliers'!K$2:K$36))</f>
        <v>0.4</v>
      </c>
      <c r="L19">
        <f>('Raw Data - Suppliers'!L19-MIN('Raw Data - Suppliers'!L$2:L$36))/(MAX('Raw Data - Suppliers'!L$2:L$36)-MIN('Raw Data - Suppliers'!L$2:L$36))</f>
        <v>0.33333333333333331</v>
      </c>
      <c r="M19">
        <f>1-('Raw Data - Suppliers'!M19-MIN('Raw Data - Suppliers'!M$2:M$36))/(MAX('Raw Data - Suppliers'!M$2:M$36)-MIN('Raw Data - Suppliers'!M$2:M$36))</f>
        <v>0.8</v>
      </c>
    </row>
    <row r="20" spans="1:13" hidden="1" x14ac:dyDescent="0.3">
      <c r="A20">
        <f>'Raw Data - Suppliers'!A20</f>
        <v>19</v>
      </c>
      <c r="B20">
        <f>('Raw Data - Suppliers'!B20-MIN('Raw Data - Suppliers'!B$2:B$36))/(MAX('Raw Data - Suppliers'!B$2:B$36)-MIN('Raw Data - Suppliers'!B$2:B$36))</f>
        <v>1</v>
      </c>
      <c r="C20">
        <f>('Raw Data - Suppliers'!C20-MIN('Raw Data - Suppliers'!C$2:C$36))/(MAX('Raw Data - Suppliers'!C$2:C$36)-MIN('Raw Data - Suppliers'!C$2:C$36))</f>
        <v>0.30666666666666664</v>
      </c>
      <c r="D20">
        <f>('Raw Data - Suppliers'!D20-MIN('Raw Data - Suppliers'!D$2:D$36))/(MAX('Raw Data - Suppliers'!D$2:D$36)-MIN('Raw Data - Suppliers'!D$2:D$36))</f>
        <v>1</v>
      </c>
      <c r="E20">
        <f>('Raw Data - Suppliers'!E20-MIN('Raw Data - Suppliers'!E$2:E$36))/(MAX('Raw Data - Suppliers'!E$2:E$36)-MIN('Raw Data - Suppliers'!E$2:E$36))</f>
        <v>0</v>
      </c>
      <c r="F20">
        <f>('Raw Data - Suppliers'!F20-MIN('Raw Data - Suppliers'!F$2:F$36))/(MAX('Raw Data - Suppliers'!F$2:F$36)-MIN('Raw Data - Suppliers'!F$2:F$36))</f>
        <v>0</v>
      </c>
      <c r="G20">
        <f>('Raw Data - Suppliers'!G20-MIN('Raw Data - Suppliers'!G$2:G$36))/(MAX('Raw Data - Suppliers'!G$2:G$36)-MIN('Raw Data - Suppliers'!G$2:G$36))</f>
        <v>0.66666666666666663</v>
      </c>
      <c r="H20">
        <f>('Raw Data - Suppliers'!H20-MIN('Raw Data - Suppliers'!H$2:H$36))/(MAX('Raw Data - Suppliers'!H$2:H$36)-MIN('Raw Data - Suppliers'!H$2:H$36))</f>
        <v>0</v>
      </c>
      <c r="I20">
        <f>('Raw Data - Suppliers'!I20-MIN('Raw Data - Suppliers'!I$2:I$36))/(MAX('Raw Data - Suppliers'!I$2:I$36)-MIN('Raw Data - Suppliers'!I$2:I$36))</f>
        <v>0.4</v>
      </c>
      <c r="J20">
        <f>('Raw Data - Suppliers'!J20-MIN('Raw Data - Suppliers'!J$2:J$36))/(MAX('Raw Data - Suppliers'!J$2:J$36)-MIN('Raw Data - Suppliers'!J$2:J$36))</f>
        <v>0</v>
      </c>
      <c r="K20">
        <f>1-('Raw Data - Suppliers'!K20-MIN('Raw Data - Suppliers'!K$2:K$36))/(MAX('Raw Data - Suppliers'!K$2:K$36)-MIN('Raw Data - Suppliers'!K$2:K$36))</f>
        <v>0.19999999999999996</v>
      </c>
      <c r="L20">
        <f>('Raw Data - Suppliers'!L20-MIN('Raw Data - Suppliers'!L$2:L$36))/(MAX('Raw Data - Suppliers'!L$2:L$36)-MIN('Raw Data - Suppliers'!L$2:L$36))</f>
        <v>0.55555555555555558</v>
      </c>
      <c r="M20">
        <f>1-('Raw Data - Suppliers'!M20-MIN('Raw Data - Suppliers'!M$2:M$36))/(MAX('Raw Data - Suppliers'!M$2:M$36)-MIN('Raw Data - Suppliers'!M$2:M$36))</f>
        <v>0.85365853658536583</v>
      </c>
    </row>
    <row r="21" spans="1:13" hidden="1" x14ac:dyDescent="0.3">
      <c r="A21">
        <f>'Raw Data - Suppliers'!A21</f>
        <v>20</v>
      </c>
      <c r="B21">
        <f>('Raw Data - Suppliers'!B21-MIN('Raw Data - Suppliers'!B$2:B$36))/(MAX('Raw Data - Suppliers'!B$2:B$36)-MIN('Raw Data - Suppliers'!B$2:B$36))</f>
        <v>0.66666666666666663</v>
      </c>
      <c r="C21">
        <f>('Raw Data - Suppliers'!C21-MIN('Raw Data - Suppliers'!C$2:C$36))/(MAX('Raw Data - Suppliers'!C$2:C$36)-MIN('Raw Data - Suppliers'!C$2:C$36))</f>
        <v>0.70666666666666667</v>
      </c>
      <c r="D21">
        <f>('Raw Data - Suppliers'!D21-MIN('Raw Data - Suppliers'!D$2:D$36))/(MAX('Raw Data - Suppliers'!D$2:D$36)-MIN('Raw Data - Suppliers'!D$2:D$36))</f>
        <v>0.75</v>
      </c>
      <c r="E21">
        <f>('Raw Data - Suppliers'!E21-MIN('Raw Data - Suppliers'!E$2:E$36))/(MAX('Raw Data - Suppliers'!E$2:E$36)-MIN('Raw Data - Suppliers'!E$2:E$36))</f>
        <v>0.16666666666666666</v>
      </c>
      <c r="F21">
        <f>('Raw Data - Suppliers'!F21-MIN('Raw Data - Suppliers'!F$2:F$36))/(MAX('Raw Data - Suppliers'!F$2:F$36)-MIN('Raw Data - Suppliers'!F$2:F$36))</f>
        <v>0.2</v>
      </c>
      <c r="G21">
        <f>('Raw Data - Suppliers'!G21-MIN('Raw Data - Suppliers'!G$2:G$36))/(MAX('Raw Data - Suppliers'!G$2:G$36)-MIN('Raw Data - Suppliers'!G$2:G$36))</f>
        <v>0.33333333333333331</v>
      </c>
      <c r="H21">
        <f>('Raw Data - Suppliers'!H21-MIN('Raw Data - Suppliers'!H$2:H$36))/(MAX('Raw Data - Suppliers'!H$2:H$36)-MIN('Raw Data - Suppliers'!H$2:H$36))</f>
        <v>0.33333333333333331</v>
      </c>
      <c r="I21">
        <f>('Raw Data - Suppliers'!I21-MIN('Raw Data - Suppliers'!I$2:I$36))/(MAX('Raw Data - Suppliers'!I$2:I$36)-MIN('Raw Data - Suppliers'!I$2:I$36))</f>
        <v>0.2</v>
      </c>
      <c r="J21">
        <f>('Raw Data - Suppliers'!J21-MIN('Raw Data - Suppliers'!J$2:J$36))/(MAX('Raw Data - Suppliers'!J$2:J$36)-MIN('Raw Data - Suppliers'!J$2:J$36))</f>
        <v>0.4</v>
      </c>
      <c r="K21">
        <f>1-('Raw Data - Suppliers'!K21-MIN('Raw Data - Suppliers'!K$2:K$36))/(MAX('Raw Data - Suppliers'!K$2:K$36)-MIN('Raw Data - Suppliers'!K$2:K$36))</f>
        <v>1</v>
      </c>
      <c r="L21">
        <f>('Raw Data - Suppliers'!L21-MIN('Raw Data - Suppliers'!L$2:L$36))/(MAX('Raw Data - Suppliers'!L$2:L$36)-MIN('Raw Data - Suppliers'!L$2:L$36))</f>
        <v>0.55555555555555558</v>
      </c>
      <c r="M21">
        <f>1-('Raw Data - Suppliers'!M21-MIN('Raw Data - Suppliers'!M$2:M$36))/(MAX('Raw Data - Suppliers'!M$2:M$36)-MIN('Raw Data - Suppliers'!M$2:M$36))</f>
        <v>0.69268292682926824</v>
      </c>
    </row>
    <row r="22" spans="1:13" hidden="1" x14ac:dyDescent="0.3">
      <c r="A22">
        <f>'Raw Data - Suppliers'!A22</f>
        <v>21</v>
      </c>
      <c r="B22">
        <f>('Raw Data - Suppliers'!B22-MIN('Raw Data - Suppliers'!B$2:B$36))/(MAX('Raw Data - Suppliers'!B$2:B$36)-MIN('Raw Data - Suppliers'!B$2:B$36))</f>
        <v>1</v>
      </c>
      <c r="C22">
        <f>('Raw Data - Suppliers'!C22-MIN('Raw Data - Suppliers'!C$2:C$36))/(MAX('Raw Data - Suppliers'!C$2:C$36)-MIN('Raw Data - Suppliers'!C$2:C$36))</f>
        <v>0.44</v>
      </c>
      <c r="D22">
        <f>('Raw Data - Suppliers'!D22-MIN('Raw Data - Suppliers'!D$2:D$36))/(MAX('Raw Data - Suppliers'!D$2:D$36)-MIN('Raw Data - Suppliers'!D$2:D$36))</f>
        <v>0</v>
      </c>
      <c r="E22">
        <f>('Raw Data - Suppliers'!E22-MIN('Raw Data - Suppliers'!E$2:E$36))/(MAX('Raw Data - Suppliers'!E$2:E$36)-MIN('Raw Data - Suppliers'!E$2:E$36))</f>
        <v>0.33333333333333331</v>
      </c>
      <c r="F22">
        <f>('Raw Data - Suppliers'!F22-MIN('Raw Data - Suppliers'!F$2:F$36))/(MAX('Raw Data - Suppliers'!F$2:F$36)-MIN('Raw Data - Suppliers'!F$2:F$36))</f>
        <v>0</v>
      </c>
      <c r="G22">
        <f>('Raw Data - Suppliers'!G22-MIN('Raw Data - Suppliers'!G$2:G$36))/(MAX('Raw Data - Suppliers'!G$2:G$36)-MIN('Raw Data - Suppliers'!G$2:G$36))</f>
        <v>0.66666666666666663</v>
      </c>
      <c r="H22">
        <f>('Raw Data - Suppliers'!H22-MIN('Raw Data - Suppliers'!H$2:H$36))/(MAX('Raw Data - Suppliers'!H$2:H$36)-MIN('Raw Data - Suppliers'!H$2:H$36))</f>
        <v>0.5</v>
      </c>
      <c r="I22">
        <f>('Raw Data - Suppliers'!I22-MIN('Raw Data - Suppliers'!I$2:I$36))/(MAX('Raw Data - Suppliers'!I$2:I$36)-MIN('Raw Data - Suppliers'!I$2:I$36))</f>
        <v>0.4</v>
      </c>
      <c r="J22">
        <f>('Raw Data - Suppliers'!J22-MIN('Raw Data - Suppliers'!J$2:J$36))/(MAX('Raw Data - Suppliers'!J$2:J$36)-MIN('Raw Data - Suppliers'!J$2:J$36))</f>
        <v>0.4</v>
      </c>
      <c r="K22">
        <f>1-('Raw Data - Suppliers'!K22-MIN('Raw Data - Suppliers'!K$2:K$36))/(MAX('Raw Data - Suppliers'!K$2:K$36)-MIN('Raw Data - Suppliers'!K$2:K$36))</f>
        <v>0.6</v>
      </c>
      <c r="L22">
        <f>('Raw Data - Suppliers'!L22-MIN('Raw Data - Suppliers'!L$2:L$36))/(MAX('Raw Data - Suppliers'!L$2:L$36)-MIN('Raw Data - Suppliers'!L$2:L$36))</f>
        <v>0.77777777777777779</v>
      </c>
      <c r="M22">
        <f>1-('Raw Data - Suppliers'!M22-MIN('Raw Data - Suppliers'!M$2:M$36))/(MAX('Raw Data - Suppliers'!M$2:M$36)-MIN('Raw Data - Suppliers'!M$2:M$36))</f>
        <v>0.75121951219512195</v>
      </c>
    </row>
    <row r="23" spans="1:13" hidden="1" x14ac:dyDescent="0.3">
      <c r="A23">
        <f>'Raw Data - Suppliers'!A23</f>
        <v>22</v>
      </c>
      <c r="B23">
        <f>('Raw Data - Suppliers'!B23-MIN('Raw Data - Suppliers'!B$2:B$36))/(MAX('Raw Data - Suppliers'!B$2:B$36)-MIN('Raw Data - Suppliers'!B$2:B$36))</f>
        <v>0.33333333333333331</v>
      </c>
      <c r="C23">
        <f>('Raw Data - Suppliers'!C23-MIN('Raw Data - Suppliers'!C$2:C$36))/(MAX('Raw Data - Suppliers'!C$2:C$36)-MIN('Raw Data - Suppliers'!C$2:C$36))</f>
        <v>0.37333333333333335</v>
      </c>
      <c r="D23">
        <f>('Raw Data - Suppliers'!D23-MIN('Raw Data - Suppliers'!D$2:D$36))/(MAX('Raw Data - Suppliers'!D$2:D$36)-MIN('Raw Data - Suppliers'!D$2:D$36))</f>
        <v>0.25</v>
      </c>
      <c r="E23">
        <f>('Raw Data - Suppliers'!E23-MIN('Raw Data - Suppliers'!E$2:E$36))/(MAX('Raw Data - Suppliers'!E$2:E$36)-MIN('Raw Data - Suppliers'!E$2:E$36))</f>
        <v>0.33333333333333331</v>
      </c>
      <c r="F23">
        <f>('Raw Data - Suppliers'!F23-MIN('Raw Data - Suppliers'!F$2:F$36))/(MAX('Raw Data - Suppliers'!F$2:F$36)-MIN('Raw Data - Suppliers'!F$2:F$36))</f>
        <v>0.2</v>
      </c>
      <c r="G23">
        <f>('Raw Data - Suppliers'!G23-MIN('Raw Data - Suppliers'!G$2:G$36))/(MAX('Raw Data - Suppliers'!G$2:G$36)-MIN('Raw Data - Suppliers'!G$2:G$36))</f>
        <v>0.66666666666666663</v>
      </c>
      <c r="H23">
        <f>('Raw Data - Suppliers'!H23-MIN('Raw Data - Suppliers'!H$2:H$36))/(MAX('Raw Data - Suppliers'!H$2:H$36)-MIN('Raw Data - Suppliers'!H$2:H$36))</f>
        <v>0.16666666666666666</v>
      </c>
      <c r="I23">
        <f>('Raw Data - Suppliers'!I23-MIN('Raw Data - Suppliers'!I$2:I$36))/(MAX('Raw Data - Suppliers'!I$2:I$36)-MIN('Raw Data - Suppliers'!I$2:I$36))</f>
        <v>0.6</v>
      </c>
      <c r="J23">
        <f>('Raw Data - Suppliers'!J23-MIN('Raw Data - Suppliers'!J$2:J$36))/(MAX('Raw Data - Suppliers'!J$2:J$36)-MIN('Raw Data - Suppliers'!J$2:J$36))</f>
        <v>0.6</v>
      </c>
      <c r="K23">
        <f>1-('Raw Data - Suppliers'!K23-MIN('Raw Data - Suppliers'!K$2:K$36))/(MAX('Raw Data - Suppliers'!K$2:K$36)-MIN('Raw Data - Suppliers'!K$2:K$36))</f>
        <v>1</v>
      </c>
      <c r="L23">
        <f>('Raw Data - Suppliers'!L23-MIN('Raw Data - Suppliers'!L$2:L$36))/(MAX('Raw Data - Suppliers'!L$2:L$36)-MIN('Raw Data - Suppliers'!L$2:L$36))</f>
        <v>0.55555555555555558</v>
      </c>
      <c r="M23">
        <f>1-('Raw Data - Suppliers'!M23-MIN('Raw Data - Suppliers'!M$2:M$36))/(MAX('Raw Data - Suppliers'!M$2:M$36)-MIN('Raw Data - Suppliers'!M$2:M$36))</f>
        <v>0.80487804878048785</v>
      </c>
    </row>
    <row r="24" spans="1:13" hidden="1" x14ac:dyDescent="0.3">
      <c r="A24">
        <f>'Raw Data - Suppliers'!A24</f>
        <v>23</v>
      </c>
      <c r="B24">
        <f>('Raw Data - Suppliers'!B24-MIN('Raw Data - Suppliers'!B$2:B$36))/(MAX('Raw Data - Suppliers'!B$2:B$36)-MIN('Raw Data - Suppliers'!B$2:B$36))</f>
        <v>0.33333333333333331</v>
      </c>
      <c r="C24">
        <f>('Raw Data - Suppliers'!C24-MIN('Raw Data - Suppliers'!C$2:C$36))/(MAX('Raw Data - Suppliers'!C$2:C$36)-MIN('Raw Data - Suppliers'!C$2:C$36))</f>
        <v>0.57333333333333336</v>
      </c>
      <c r="D24">
        <f>('Raw Data - Suppliers'!D24-MIN('Raw Data - Suppliers'!D$2:D$36))/(MAX('Raw Data - Suppliers'!D$2:D$36)-MIN('Raw Data - Suppliers'!D$2:D$36))</f>
        <v>0.5</v>
      </c>
      <c r="E24">
        <f>('Raw Data - Suppliers'!E24-MIN('Raw Data - Suppliers'!E$2:E$36))/(MAX('Raw Data - Suppliers'!E$2:E$36)-MIN('Raw Data - Suppliers'!E$2:E$36))</f>
        <v>0.5</v>
      </c>
      <c r="F24">
        <f>('Raw Data - Suppliers'!F24-MIN('Raw Data - Suppliers'!F$2:F$36))/(MAX('Raw Data - Suppliers'!F$2:F$36)-MIN('Raw Data - Suppliers'!F$2:F$36))</f>
        <v>0.8</v>
      </c>
      <c r="G24">
        <f>('Raw Data - Suppliers'!G24-MIN('Raw Data - Suppliers'!G$2:G$36))/(MAX('Raw Data - Suppliers'!G$2:G$36)-MIN('Raw Data - Suppliers'!G$2:G$36))</f>
        <v>0.33333333333333331</v>
      </c>
      <c r="H24">
        <f>('Raw Data - Suppliers'!H24-MIN('Raw Data - Suppliers'!H$2:H$36))/(MAX('Raw Data - Suppliers'!H$2:H$36)-MIN('Raw Data - Suppliers'!H$2:H$36))</f>
        <v>0.33333333333333331</v>
      </c>
      <c r="I24">
        <f>('Raw Data - Suppliers'!I24-MIN('Raw Data - Suppliers'!I$2:I$36))/(MAX('Raw Data - Suppliers'!I$2:I$36)-MIN('Raw Data - Suppliers'!I$2:I$36))</f>
        <v>0.2</v>
      </c>
      <c r="J24">
        <f>('Raw Data - Suppliers'!J24-MIN('Raw Data - Suppliers'!J$2:J$36))/(MAX('Raw Data - Suppliers'!J$2:J$36)-MIN('Raw Data - Suppliers'!J$2:J$36))</f>
        <v>0.2</v>
      </c>
      <c r="K24">
        <f>1-('Raw Data - Suppliers'!K24-MIN('Raw Data - Suppliers'!K$2:K$36))/(MAX('Raw Data - Suppliers'!K$2:K$36)-MIN('Raw Data - Suppliers'!K$2:K$36))</f>
        <v>0.8</v>
      </c>
      <c r="L24">
        <f>('Raw Data - Suppliers'!L24-MIN('Raw Data - Suppliers'!L$2:L$36))/(MAX('Raw Data - Suppliers'!L$2:L$36)-MIN('Raw Data - Suppliers'!L$2:L$36))</f>
        <v>0.77777777777777779</v>
      </c>
      <c r="M24">
        <f>1-('Raw Data - Suppliers'!M24-MIN('Raw Data - Suppliers'!M$2:M$36))/(MAX('Raw Data - Suppliers'!M$2:M$36)-MIN('Raw Data - Suppliers'!M$2:M$36))</f>
        <v>0.90243902439024393</v>
      </c>
    </row>
    <row r="25" spans="1:13" x14ac:dyDescent="0.3">
      <c r="A25">
        <f>'Raw Data - Suppliers'!A25</f>
        <v>24</v>
      </c>
      <c r="B25">
        <f>('Raw Data - Suppliers'!B25-MIN('Raw Data - Suppliers'!B$2:B$36))/(MAX('Raw Data - Suppliers'!B$2:B$36)-MIN('Raw Data - Suppliers'!B$2:B$36))</f>
        <v>0.33333333333333331</v>
      </c>
      <c r="C25">
        <f>('Raw Data - Suppliers'!C25-MIN('Raw Data - Suppliers'!C$2:C$36))/(MAX('Raw Data - Suppliers'!C$2:C$36)-MIN('Raw Data - Suppliers'!C$2:C$36))</f>
        <v>0.30666666666666664</v>
      </c>
      <c r="D25">
        <f>('Raw Data - Suppliers'!D25-MIN('Raw Data - Suppliers'!D$2:D$36))/(MAX('Raw Data - Suppliers'!D$2:D$36)-MIN('Raw Data - Suppliers'!D$2:D$36))</f>
        <v>0.5</v>
      </c>
      <c r="E25">
        <f>('Raw Data - Suppliers'!E25-MIN('Raw Data - Suppliers'!E$2:E$36))/(MAX('Raw Data - Suppliers'!E$2:E$36)-MIN('Raw Data - Suppliers'!E$2:E$36))</f>
        <v>0.83333333333333337</v>
      </c>
      <c r="F25">
        <f>('Raw Data - Suppliers'!F25-MIN('Raw Data - Suppliers'!F$2:F$36))/(MAX('Raw Data - Suppliers'!F$2:F$36)-MIN('Raw Data - Suppliers'!F$2:F$36))</f>
        <v>1</v>
      </c>
      <c r="G25">
        <f>('Raw Data - Suppliers'!G25-MIN('Raw Data - Suppliers'!G$2:G$36))/(MAX('Raw Data - Suppliers'!G$2:G$36)-MIN('Raw Data - Suppliers'!G$2:G$36))</f>
        <v>0.33333333333333331</v>
      </c>
      <c r="H25">
        <f>('Raw Data - Suppliers'!H25-MIN('Raw Data - Suppliers'!H$2:H$36))/(MAX('Raw Data - Suppliers'!H$2:H$36)-MIN('Raw Data - Suppliers'!H$2:H$36))</f>
        <v>0.66666666666666663</v>
      </c>
      <c r="I25">
        <f>('Raw Data - Suppliers'!I25-MIN('Raw Data - Suppliers'!I$2:I$36))/(MAX('Raw Data - Suppliers'!I$2:I$36)-MIN('Raw Data - Suppliers'!I$2:I$36))</f>
        <v>1</v>
      </c>
      <c r="J25">
        <f>('Raw Data - Suppliers'!J25-MIN('Raw Data - Suppliers'!J$2:J$36))/(MAX('Raw Data - Suppliers'!J$2:J$36)-MIN('Raw Data - Suppliers'!J$2:J$36))</f>
        <v>0.6</v>
      </c>
      <c r="K25">
        <f>1-('Raw Data - Suppliers'!K25-MIN('Raw Data - Suppliers'!K$2:K$36))/(MAX('Raw Data - Suppliers'!K$2:K$36)-MIN('Raw Data - Suppliers'!K$2:K$36))</f>
        <v>0.8</v>
      </c>
      <c r="L25">
        <f>('Raw Data - Suppliers'!L25-MIN('Raw Data - Suppliers'!L$2:L$36))/(MAX('Raw Data - Suppliers'!L$2:L$36)-MIN('Raw Data - Suppliers'!L$2:L$36))</f>
        <v>1</v>
      </c>
      <c r="M25">
        <f>1-('Raw Data - Suppliers'!M25-MIN('Raw Data - Suppliers'!M$2:M$36))/(MAX('Raw Data - Suppliers'!M$2:M$36)-MIN('Raw Data - Suppliers'!M$2:M$36))</f>
        <v>0.85365853658536583</v>
      </c>
    </row>
    <row r="26" spans="1:13" x14ac:dyDescent="0.3">
      <c r="A26">
        <f>'Raw Data - Suppliers'!A26</f>
        <v>25</v>
      </c>
      <c r="B26">
        <f>('Raw Data - Suppliers'!B26-MIN('Raw Data - Suppliers'!B$2:B$36))/(MAX('Raw Data - Suppliers'!B$2:B$36)-MIN('Raw Data - Suppliers'!B$2:B$36))</f>
        <v>0</v>
      </c>
      <c r="C26">
        <f>('Raw Data - Suppliers'!C26-MIN('Raw Data - Suppliers'!C$2:C$36))/(MAX('Raw Data - Suppliers'!C$2:C$36)-MIN('Raw Data - Suppliers'!C$2:C$36))</f>
        <v>0.69333333333333336</v>
      </c>
      <c r="D26">
        <f>('Raw Data - Suppliers'!D26-MIN('Raw Data - Suppliers'!D$2:D$36))/(MAX('Raw Data - Suppliers'!D$2:D$36)-MIN('Raw Data - Suppliers'!D$2:D$36))</f>
        <v>0.75</v>
      </c>
      <c r="E26">
        <f>('Raw Data - Suppliers'!E26-MIN('Raw Data - Suppliers'!E$2:E$36))/(MAX('Raw Data - Suppliers'!E$2:E$36)-MIN('Raw Data - Suppliers'!E$2:E$36))</f>
        <v>0.66666666666666663</v>
      </c>
      <c r="F26">
        <f>('Raw Data - Suppliers'!F26-MIN('Raw Data - Suppliers'!F$2:F$36))/(MAX('Raw Data - Suppliers'!F$2:F$36)-MIN('Raw Data - Suppliers'!F$2:F$36))</f>
        <v>1</v>
      </c>
      <c r="G26">
        <f>('Raw Data - Suppliers'!G26-MIN('Raw Data - Suppliers'!G$2:G$36))/(MAX('Raw Data - Suppliers'!G$2:G$36)-MIN('Raw Data - Suppliers'!G$2:G$36))</f>
        <v>0.66666666666666663</v>
      </c>
      <c r="H26">
        <f>('Raw Data - Suppliers'!H26-MIN('Raw Data - Suppliers'!H$2:H$36))/(MAX('Raw Data - Suppliers'!H$2:H$36)-MIN('Raw Data - Suppliers'!H$2:H$36))</f>
        <v>0.83333333333333337</v>
      </c>
      <c r="I26">
        <f>('Raw Data - Suppliers'!I26-MIN('Raw Data - Suppliers'!I$2:I$36))/(MAX('Raw Data - Suppliers'!I$2:I$36)-MIN('Raw Data - Suppliers'!I$2:I$36))</f>
        <v>0.8</v>
      </c>
      <c r="J26">
        <f>('Raw Data - Suppliers'!J26-MIN('Raw Data - Suppliers'!J$2:J$36))/(MAX('Raw Data - Suppliers'!J$2:J$36)-MIN('Raw Data - Suppliers'!J$2:J$36))</f>
        <v>0.8</v>
      </c>
      <c r="K26">
        <f>1-('Raw Data - Suppliers'!K26-MIN('Raw Data - Suppliers'!K$2:K$36))/(MAX('Raw Data - Suppliers'!K$2:K$36)-MIN('Raw Data - Suppliers'!K$2:K$36))</f>
        <v>1</v>
      </c>
      <c r="L26">
        <f>('Raw Data - Suppliers'!L26-MIN('Raw Data - Suppliers'!L$2:L$36))/(MAX('Raw Data - Suppliers'!L$2:L$36)-MIN('Raw Data - Suppliers'!L$2:L$36))</f>
        <v>0.1111111111111111</v>
      </c>
      <c r="M26">
        <f>1-('Raw Data - Suppliers'!M26-MIN('Raw Data - Suppliers'!M$2:M$36))/(MAX('Raw Data - Suppliers'!M$2:M$36)-MIN('Raw Data - Suppliers'!M$2:M$36))</f>
        <v>0.72682926829268291</v>
      </c>
    </row>
    <row r="27" spans="1:13" hidden="1" x14ac:dyDescent="0.3">
      <c r="A27">
        <f>'Raw Data - Suppliers'!A27</f>
        <v>26</v>
      </c>
      <c r="B27">
        <f>('Raw Data - Suppliers'!B27-MIN('Raw Data - Suppliers'!B$2:B$36))/(MAX('Raw Data - Suppliers'!B$2:B$36)-MIN('Raw Data - Suppliers'!B$2:B$36))</f>
        <v>0.33333333333333331</v>
      </c>
      <c r="C27">
        <f>('Raw Data - Suppliers'!C27-MIN('Raw Data - Suppliers'!C$2:C$36))/(MAX('Raw Data - Suppliers'!C$2:C$36)-MIN('Raw Data - Suppliers'!C$2:C$36))</f>
        <v>0</v>
      </c>
      <c r="D27">
        <f>('Raw Data - Suppliers'!D27-MIN('Raw Data - Suppliers'!D$2:D$36))/(MAX('Raw Data - Suppliers'!D$2:D$36)-MIN('Raw Data - Suppliers'!D$2:D$36))</f>
        <v>0.25</v>
      </c>
      <c r="E27">
        <f>('Raw Data - Suppliers'!E27-MIN('Raw Data - Suppliers'!E$2:E$36))/(MAX('Raw Data - Suppliers'!E$2:E$36)-MIN('Raw Data - Suppliers'!E$2:E$36))</f>
        <v>0.83333333333333337</v>
      </c>
      <c r="F27">
        <f>('Raw Data - Suppliers'!F27-MIN('Raw Data - Suppliers'!F$2:F$36))/(MAX('Raw Data - Suppliers'!F$2:F$36)-MIN('Raw Data - Suppliers'!F$2:F$36))</f>
        <v>0.6</v>
      </c>
      <c r="G27">
        <f>('Raw Data - Suppliers'!G27-MIN('Raw Data - Suppliers'!G$2:G$36))/(MAX('Raw Data - Suppliers'!G$2:G$36)-MIN('Raw Data - Suppliers'!G$2:G$36))</f>
        <v>0</v>
      </c>
      <c r="H27">
        <f>('Raw Data - Suppliers'!H27-MIN('Raw Data - Suppliers'!H$2:H$36))/(MAX('Raw Data - Suppliers'!H$2:H$36)-MIN('Raw Data - Suppliers'!H$2:H$36))</f>
        <v>1</v>
      </c>
      <c r="I27">
        <f>('Raw Data - Suppliers'!I27-MIN('Raw Data - Suppliers'!I$2:I$36))/(MAX('Raw Data - Suppliers'!I$2:I$36)-MIN('Raw Data - Suppliers'!I$2:I$36))</f>
        <v>1</v>
      </c>
      <c r="J27">
        <f>('Raw Data - Suppliers'!J27-MIN('Raw Data - Suppliers'!J$2:J$36))/(MAX('Raw Data - Suppliers'!J$2:J$36)-MIN('Raw Data - Suppliers'!J$2:J$36))</f>
        <v>1</v>
      </c>
      <c r="K27">
        <f>1-('Raw Data - Suppliers'!K27-MIN('Raw Data - Suppliers'!K$2:K$36))/(MAX('Raw Data - Suppliers'!K$2:K$36)-MIN('Raw Data - Suppliers'!K$2:K$36))</f>
        <v>0.8</v>
      </c>
      <c r="L27">
        <f>('Raw Data - Suppliers'!L27-MIN('Raw Data - Suppliers'!L$2:L$36))/(MAX('Raw Data - Suppliers'!L$2:L$36)-MIN('Raw Data - Suppliers'!L$2:L$36))</f>
        <v>0.55555555555555558</v>
      </c>
      <c r="M27">
        <f>1-('Raw Data - Suppliers'!M27-MIN('Raw Data - Suppliers'!M$2:M$36))/(MAX('Raw Data - Suppliers'!M$2:M$36)-MIN('Raw Data - Suppliers'!M$2:M$36))</f>
        <v>0.95121951219512191</v>
      </c>
    </row>
    <row r="28" spans="1:13" x14ac:dyDescent="0.3">
      <c r="A28">
        <f>'Raw Data - Suppliers'!A28</f>
        <v>27</v>
      </c>
      <c r="B28">
        <f>('Raw Data - Suppliers'!B28-MIN('Raw Data - Suppliers'!B$2:B$36))/(MAX('Raw Data - Suppliers'!B$2:B$36)-MIN('Raw Data - Suppliers'!B$2:B$36))</f>
        <v>0.33333333333333331</v>
      </c>
      <c r="C28">
        <f>('Raw Data - Suppliers'!C28-MIN('Raw Data - Suppliers'!C$2:C$36))/(MAX('Raw Data - Suppliers'!C$2:C$36)-MIN('Raw Data - Suppliers'!C$2:C$36))</f>
        <v>0.44</v>
      </c>
      <c r="D28">
        <f>('Raw Data - Suppliers'!D28-MIN('Raw Data - Suppliers'!D$2:D$36))/(MAX('Raw Data - Suppliers'!D$2:D$36)-MIN('Raw Data - Suppliers'!D$2:D$36))</f>
        <v>0.5</v>
      </c>
      <c r="E28">
        <f>('Raw Data - Suppliers'!E28-MIN('Raw Data - Suppliers'!E$2:E$36))/(MAX('Raw Data - Suppliers'!E$2:E$36)-MIN('Raw Data - Suppliers'!E$2:E$36))</f>
        <v>1</v>
      </c>
      <c r="F28">
        <f>('Raw Data - Suppliers'!F28-MIN('Raw Data - Suppliers'!F$2:F$36))/(MAX('Raw Data - Suppliers'!F$2:F$36)-MIN('Raw Data - Suppliers'!F$2:F$36))</f>
        <v>0.8</v>
      </c>
      <c r="G28">
        <f>('Raw Data - Suppliers'!G28-MIN('Raw Data - Suppliers'!G$2:G$36))/(MAX('Raw Data - Suppliers'!G$2:G$36)-MIN('Raw Data - Suppliers'!G$2:G$36))</f>
        <v>0.33333333333333331</v>
      </c>
      <c r="H28">
        <f>('Raw Data - Suppliers'!H28-MIN('Raw Data - Suppliers'!H$2:H$36))/(MAX('Raw Data - Suppliers'!H$2:H$36)-MIN('Raw Data - Suppliers'!H$2:H$36))</f>
        <v>0.83333333333333337</v>
      </c>
      <c r="I28">
        <f>('Raw Data - Suppliers'!I28-MIN('Raw Data - Suppliers'!I$2:I$36))/(MAX('Raw Data - Suppliers'!I$2:I$36)-MIN('Raw Data - Suppliers'!I$2:I$36))</f>
        <v>0.8</v>
      </c>
      <c r="J28">
        <f>('Raw Data - Suppliers'!J28-MIN('Raw Data - Suppliers'!J$2:J$36))/(MAX('Raw Data - Suppliers'!J$2:J$36)-MIN('Raw Data - Suppliers'!J$2:J$36))</f>
        <v>0.4</v>
      </c>
      <c r="K28">
        <f>1-('Raw Data - Suppliers'!K28-MIN('Raw Data - Suppliers'!K$2:K$36))/(MAX('Raw Data - Suppliers'!K$2:K$36)-MIN('Raw Data - Suppliers'!K$2:K$36))</f>
        <v>1</v>
      </c>
      <c r="L28">
        <f>('Raw Data - Suppliers'!L28-MIN('Raw Data - Suppliers'!L$2:L$36))/(MAX('Raw Data - Suppliers'!L$2:L$36)-MIN('Raw Data - Suppliers'!L$2:L$36))</f>
        <v>0.33333333333333331</v>
      </c>
      <c r="M28">
        <f>1-('Raw Data - Suppliers'!M28-MIN('Raw Data - Suppliers'!M$2:M$36))/(MAX('Raw Data - Suppliers'!M$2:M$36)-MIN('Raw Data - Suppliers'!M$2:M$36))</f>
        <v>0.81463414634146347</v>
      </c>
    </row>
    <row r="29" spans="1:13" hidden="1" x14ac:dyDescent="0.3">
      <c r="A29">
        <f>'Raw Data - Suppliers'!A29</f>
        <v>28</v>
      </c>
      <c r="B29">
        <f>('Raw Data - Suppliers'!B29-MIN('Raw Data - Suppliers'!B$2:B$36))/(MAX('Raw Data - Suppliers'!B$2:B$36)-MIN('Raw Data - Suppliers'!B$2:B$36))</f>
        <v>0.66666666666666663</v>
      </c>
      <c r="C29">
        <f>('Raw Data - Suppliers'!C29-MIN('Raw Data - Suppliers'!C$2:C$36))/(MAX('Raw Data - Suppliers'!C$2:C$36)-MIN('Raw Data - Suppliers'!C$2:C$36))</f>
        <v>0.30666666666666664</v>
      </c>
      <c r="D29">
        <f>('Raw Data - Suppliers'!D29-MIN('Raw Data - Suppliers'!D$2:D$36))/(MAX('Raw Data - Suppliers'!D$2:D$36)-MIN('Raw Data - Suppliers'!D$2:D$36))</f>
        <v>0.75</v>
      </c>
      <c r="E29">
        <f>('Raw Data - Suppliers'!E29-MIN('Raw Data - Suppliers'!E$2:E$36))/(MAX('Raw Data - Suppliers'!E$2:E$36)-MIN('Raw Data - Suppliers'!E$2:E$36))</f>
        <v>0.5</v>
      </c>
      <c r="F29">
        <f>('Raw Data - Suppliers'!F29-MIN('Raw Data - Suppliers'!F$2:F$36))/(MAX('Raw Data - Suppliers'!F$2:F$36)-MIN('Raw Data - Suppliers'!F$2:F$36))</f>
        <v>0.6</v>
      </c>
      <c r="G29">
        <f>('Raw Data - Suppliers'!G29-MIN('Raw Data - Suppliers'!G$2:G$36))/(MAX('Raw Data - Suppliers'!G$2:G$36)-MIN('Raw Data - Suppliers'!G$2:G$36))</f>
        <v>0.66666666666666663</v>
      </c>
      <c r="H29">
        <f>('Raw Data - Suppliers'!H29-MIN('Raw Data - Suppliers'!H$2:H$36))/(MAX('Raw Data - Suppliers'!H$2:H$36)-MIN('Raw Data - Suppliers'!H$2:H$36))</f>
        <v>0.33333333333333331</v>
      </c>
      <c r="I29">
        <f>('Raw Data - Suppliers'!I29-MIN('Raw Data - Suppliers'!I$2:I$36))/(MAX('Raw Data - Suppliers'!I$2:I$36)-MIN('Raw Data - Suppliers'!I$2:I$36))</f>
        <v>0.2</v>
      </c>
      <c r="J29">
        <f>('Raw Data - Suppliers'!J29-MIN('Raw Data - Suppliers'!J$2:J$36))/(MAX('Raw Data - Suppliers'!J$2:J$36)-MIN('Raw Data - Suppliers'!J$2:J$36))</f>
        <v>0.2</v>
      </c>
      <c r="K29">
        <f>1-('Raw Data - Suppliers'!K29-MIN('Raw Data - Suppliers'!K$2:K$36))/(MAX('Raw Data - Suppliers'!K$2:K$36)-MIN('Raw Data - Suppliers'!K$2:K$36))</f>
        <v>0.4</v>
      </c>
      <c r="L29">
        <f>('Raw Data - Suppliers'!L29-MIN('Raw Data - Suppliers'!L$2:L$36))/(MAX('Raw Data - Suppliers'!L$2:L$36)-MIN('Raw Data - Suppliers'!L$2:L$36))</f>
        <v>0.55555555555555558</v>
      </c>
      <c r="M29">
        <f>1-('Raw Data - Suppliers'!M29-MIN('Raw Data - Suppliers'!M$2:M$36))/(MAX('Raw Data - Suppliers'!M$2:M$36)-MIN('Raw Data - Suppliers'!M$2:M$36))</f>
        <v>0.82439024390243909</v>
      </c>
    </row>
    <row r="30" spans="1:13" hidden="1" x14ac:dyDescent="0.3">
      <c r="A30">
        <f>'Raw Data - Suppliers'!A30</f>
        <v>29</v>
      </c>
      <c r="B30">
        <f>('Raw Data - Suppliers'!B30-MIN('Raw Data - Suppliers'!B$2:B$36))/(MAX('Raw Data - Suppliers'!B$2:B$36)-MIN('Raw Data - Suppliers'!B$2:B$36))</f>
        <v>0.33333333333333331</v>
      </c>
      <c r="C30">
        <f>('Raw Data - Suppliers'!C30-MIN('Raw Data - Suppliers'!C$2:C$36))/(MAX('Raw Data - Suppliers'!C$2:C$36)-MIN('Raw Data - Suppliers'!C$2:C$36))</f>
        <v>0.04</v>
      </c>
      <c r="D30">
        <f>('Raw Data - Suppliers'!D30-MIN('Raw Data - Suppliers'!D$2:D$36))/(MAX('Raw Data - Suppliers'!D$2:D$36)-MIN('Raw Data - Suppliers'!D$2:D$36))</f>
        <v>1</v>
      </c>
      <c r="E30">
        <f>('Raw Data - Suppliers'!E30-MIN('Raw Data - Suppliers'!E$2:E$36))/(MAX('Raw Data - Suppliers'!E$2:E$36)-MIN('Raw Data - Suppliers'!E$2:E$36))</f>
        <v>0</v>
      </c>
      <c r="F30">
        <f>('Raw Data - Suppliers'!F30-MIN('Raw Data - Suppliers'!F$2:F$36))/(MAX('Raw Data - Suppliers'!F$2:F$36)-MIN('Raw Data - Suppliers'!F$2:F$36))</f>
        <v>0.4</v>
      </c>
      <c r="G30">
        <f>('Raw Data - Suppliers'!G30-MIN('Raw Data - Suppliers'!G$2:G$36))/(MAX('Raw Data - Suppliers'!G$2:G$36)-MIN('Raw Data - Suppliers'!G$2:G$36))</f>
        <v>0.33333333333333331</v>
      </c>
      <c r="H30">
        <f>('Raw Data - Suppliers'!H30-MIN('Raw Data - Suppliers'!H$2:H$36))/(MAX('Raw Data - Suppliers'!H$2:H$36)-MIN('Raw Data - Suppliers'!H$2:H$36))</f>
        <v>0.16666666666666666</v>
      </c>
      <c r="I30">
        <f>('Raw Data - Suppliers'!I30-MIN('Raw Data - Suppliers'!I$2:I$36))/(MAX('Raw Data - Suppliers'!I$2:I$36)-MIN('Raw Data - Suppliers'!I$2:I$36))</f>
        <v>0.6</v>
      </c>
      <c r="J30">
        <f>('Raw Data - Suppliers'!J30-MIN('Raw Data - Suppliers'!J$2:J$36))/(MAX('Raw Data - Suppliers'!J$2:J$36)-MIN('Raw Data - Suppliers'!J$2:J$36))</f>
        <v>0.6</v>
      </c>
      <c r="K30">
        <f>1-('Raw Data - Suppliers'!K30-MIN('Raw Data - Suppliers'!K$2:K$36))/(MAX('Raw Data - Suppliers'!K$2:K$36)-MIN('Raw Data - Suppliers'!K$2:K$36))</f>
        <v>0.4</v>
      </c>
      <c r="L30">
        <f>('Raw Data - Suppliers'!L30-MIN('Raw Data - Suppliers'!L$2:L$36))/(MAX('Raw Data - Suppliers'!L$2:L$36)-MIN('Raw Data - Suppliers'!L$2:L$36))</f>
        <v>0.77777777777777779</v>
      </c>
      <c r="M30">
        <f>1-('Raw Data - Suppliers'!M30-MIN('Raw Data - Suppliers'!M$2:M$36))/(MAX('Raw Data - Suppliers'!M$2:M$36)-MIN('Raw Data - Suppliers'!M$2:M$36))</f>
        <v>0.66341463414634139</v>
      </c>
    </row>
    <row r="31" spans="1:13" hidden="1" x14ac:dyDescent="0.3">
      <c r="A31">
        <f>'Raw Data - Suppliers'!A31</f>
        <v>30</v>
      </c>
      <c r="B31">
        <f>('Raw Data - Suppliers'!B31-MIN('Raw Data - Suppliers'!B$2:B$36))/(MAX('Raw Data - Suppliers'!B$2:B$36)-MIN('Raw Data - Suppliers'!B$2:B$36))</f>
        <v>0.66666666666666663</v>
      </c>
      <c r="C31">
        <f>('Raw Data - Suppliers'!C31-MIN('Raw Data - Suppliers'!C$2:C$36))/(MAX('Raw Data - Suppliers'!C$2:C$36)-MIN('Raw Data - Suppliers'!C$2:C$36))</f>
        <v>0.4</v>
      </c>
      <c r="D31">
        <f>('Raw Data - Suppliers'!D31-MIN('Raw Data - Suppliers'!D$2:D$36))/(MAX('Raw Data - Suppliers'!D$2:D$36)-MIN('Raw Data - Suppliers'!D$2:D$36))</f>
        <v>0</v>
      </c>
      <c r="E31">
        <f>('Raw Data - Suppliers'!E31-MIN('Raw Data - Suppliers'!E$2:E$36))/(MAX('Raw Data - Suppliers'!E$2:E$36)-MIN('Raw Data - Suppliers'!E$2:E$36))</f>
        <v>0.16666666666666666</v>
      </c>
      <c r="F31">
        <f>('Raw Data - Suppliers'!F31-MIN('Raw Data - Suppliers'!F$2:F$36))/(MAX('Raw Data - Suppliers'!F$2:F$36)-MIN('Raw Data - Suppliers'!F$2:F$36))</f>
        <v>0.2</v>
      </c>
      <c r="G31">
        <f>('Raw Data - Suppliers'!G31-MIN('Raw Data - Suppliers'!G$2:G$36))/(MAX('Raw Data - Suppliers'!G$2:G$36)-MIN('Raw Data - Suppliers'!G$2:G$36))</f>
        <v>0.66666666666666663</v>
      </c>
      <c r="H31">
        <f>('Raw Data - Suppliers'!H31-MIN('Raw Data - Suppliers'!H$2:H$36))/(MAX('Raw Data - Suppliers'!H$2:H$36)-MIN('Raw Data - Suppliers'!H$2:H$36))</f>
        <v>0.33333333333333331</v>
      </c>
      <c r="I31">
        <f>('Raw Data - Suppliers'!I31-MIN('Raw Data - Suppliers'!I$2:I$36))/(MAX('Raw Data - Suppliers'!I$2:I$36)-MIN('Raw Data - Suppliers'!I$2:I$36))</f>
        <v>0.6</v>
      </c>
      <c r="J31">
        <f>('Raw Data - Suppliers'!J31-MIN('Raw Data - Suppliers'!J$2:J$36))/(MAX('Raw Data - Suppliers'!J$2:J$36)-MIN('Raw Data - Suppliers'!J$2:J$36))</f>
        <v>0.6</v>
      </c>
      <c r="K31">
        <f>1-('Raw Data - Suppliers'!K31-MIN('Raw Data - Suppliers'!K$2:K$36))/(MAX('Raw Data - Suppliers'!K$2:K$36)-MIN('Raw Data - Suppliers'!K$2:K$36))</f>
        <v>0.19999999999999996</v>
      </c>
      <c r="L31">
        <f>('Raw Data - Suppliers'!L31-MIN('Raw Data - Suppliers'!L$2:L$36))/(MAX('Raw Data - Suppliers'!L$2:L$36)-MIN('Raw Data - Suppliers'!L$2:L$36))</f>
        <v>0.1111111111111111</v>
      </c>
      <c r="M31">
        <f>1-('Raw Data - Suppliers'!M31-MIN('Raw Data - Suppliers'!M$2:M$36))/(MAX('Raw Data - Suppliers'!M$2:M$36)-MIN('Raw Data - Suppliers'!M$2:M$36))</f>
        <v>0.70731707317073167</v>
      </c>
    </row>
    <row r="32" spans="1:13" hidden="1" x14ac:dyDescent="0.3">
      <c r="A32">
        <f>'Raw Data - Suppliers'!A32</f>
        <v>31</v>
      </c>
      <c r="B32">
        <f>('Raw Data - Suppliers'!B32-MIN('Raw Data - Suppliers'!B$2:B$36))/(MAX('Raw Data - Suppliers'!B$2:B$36)-MIN('Raw Data - Suppliers'!B$2:B$36))</f>
        <v>0</v>
      </c>
      <c r="C32">
        <f>('Raw Data - Suppliers'!C32-MIN('Raw Data - Suppliers'!C$2:C$36))/(MAX('Raw Data - Suppliers'!C$2:C$36)-MIN('Raw Data - Suppliers'!C$2:C$36))</f>
        <v>0.04</v>
      </c>
      <c r="D32">
        <f>('Raw Data - Suppliers'!D32-MIN('Raw Data - Suppliers'!D$2:D$36))/(MAX('Raw Data - Suppliers'!D$2:D$36)-MIN('Raw Data - Suppliers'!D$2:D$36))</f>
        <v>0</v>
      </c>
      <c r="E32">
        <f>('Raw Data - Suppliers'!E32-MIN('Raw Data - Suppliers'!E$2:E$36))/(MAX('Raw Data - Suppliers'!E$2:E$36)-MIN('Raw Data - Suppliers'!E$2:E$36))</f>
        <v>0.33333333333333331</v>
      </c>
      <c r="F32">
        <f>('Raw Data - Suppliers'!F32-MIN('Raw Data - Suppliers'!F$2:F$36))/(MAX('Raw Data - Suppliers'!F$2:F$36)-MIN('Raw Data - Suppliers'!F$2:F$36))</f>
        <v>0</v>
      </c>
      <c r="G32">
        <f>('Raw Data - Suppliers'!G32-MIN('Raw Data - Suppliers'!G$2:G$36))/(MAX('Raw Data - Suppliers'!G$2:G$36)-MIN('Raw Data - Suppliers'!G$2:G$36))</f>
        <v>0</v>
      </c>
      <c r="H32">
        <f>('Raw Data - Suppliers'!H32-MIN('Raw Data - Suppliers'!H$2:H$36))/(MAX('Raw Data - Suppliers'!H$2:H$36)-MIN('Raw Data - Suppliers'!H$2:H$36))</f>
        <v>0.16666666666666666</v>
      </c>
      <c r="I32">
        <f>('Raw Data - Suppliers'!I32-MIN('Raw Data - Suppliers'!I$2:I$36))/(MAX('Raw Data - Suppliers'!I$2:I$36)-MIN('Raw Data - Suppliers'!I$2:I$36))</f>
        <v>0.4</v>
      </c>
      <c r="J32">
        <f>('Raw Data - Suppliers'!J32-MIN('Raw Data - Suppliers'!J$2:J$36))/(MAX('Raw Data - Suppliers'!J$2:J$36)-MIN('Raw Data - Suppliers'!J$2:J$36))</f>
        <v>0.4</v>
      </c>
      <c r="K32">
        <f>1-('Raw Data - Suppliers'!K32-MIN('Raw Data - Suppliers'!K$2:K$36))/(MAX('Raw Data - Suppliers'!K$2:K$36)-MIN('Raw Data - Suppliers'!K$2:K$36))</f>
        <v>1</v>
      </c>
      <c r="L32">
        <f>('Raw Data - Suppliers'!L32-MIN('Raw Data - Suppliers'!L$2:L$36))/(MAX('Raw Data - Suppliers'!L$2:L$36)-MIN('Raw Data - Suppliers'!L$2:L$36))</f>
        <v>0.55555555555555558</v>
      </c>
      <c r="M32">
        <f>1-('Raw Data - Suppliers'!M32-MIN('Raw Data - Suppliers'!M$2:M$36))/(MAX('Raw Data - Suppliers'!M$2:M$36)-MIN('Raw Data - Suppliers'!M$2:M$36))</f>
        <v>0.86829268292682926</v>
      </c>
    </row>
    <row r="33" spans="1:13" hidden="1" x14ac:dyDescent="0.3">
      <c r="A33">
        <f>'Raw Data - Suppliers'!A33</f>
        <v>32</v>
      </c>
      <c r="B33">
        <f>('Raw Data - Suppliers'!B33-MIN('Raw Data - Suppliers'!B$2:B$36))/(MAX('Raw Data - Suppliers'!B$2:B$36)-MIN('Raw Data - Suppliers'!B$2:B$36))</f>
        <v>0.66666666666666663</v>
      </c>
      <c r="C33">
        <f>('Raw Data - Suppliers'!C33-MIN('Raw Data - Suppliers'!C$2:C$36))/(MAX('Raw Data - Suppliers'!C$2:C$36)-MIN('Raw Data - Suppliers'!C$2:C$36))</f>
        <v>0.17333333333333334</v>
      </c>
      <c r="D33">
        <f>('Raw Data - Suppliers'!D33-MIN('Raw Data - Suppliers'!D$2:D$36))/(MAX('Raw Data - Suppliers'!D$2:D$36)-MIN('Raw Data - Suppliers'!D$2:D$36))</f>
        <v>0.25</v>
      </c>
      <c r="E33">
        <f>('Raw Data - Suppliers'!E33-MIN('Raw Data - Suppliers'!E$2:E$36))/(MAX('Raw Data - Suppliers'!E$2:E$36)-MIN('Raw Data - Suppliers'!E$2:E$36))</f>
        <v>0.33333333333333331</v>
      </c>
      <c r="F33">
        <f>('Raw Data - Suppliers'!F33-MIN('Raw Data - Suppliers'!F$2:F$36))/(MAX('Raw Data - Suppliers'!F$2:F$36)-MIN('Raw Data - Suppliers'!F$2:F$36))</f>
        <v>0</v>
      </c>
      <c r="G33">
        <f>('Raw Data - Suppliers'!G33-MIN('Raw Data - Suppliers'!G$2:G$36))/(MAX('Raw Data - Suppliers'!G$2:G$36)-MIN('Raw Data - Suppliers'!G$2:G$36))</f>
        <v>0.33333333333333331</v>
      </c>
      <c r="H33">
        <f>('Raw Data - Suppliers'!H33-MIN('Raw Data - Suppliers'!H$2:H$36))/(MAX('Raw Data - Suppliers'!H$2:H$36)-MIN('Raw Data - Suppliers'!H$2:H$36))</f>
        <v>0.16666666666666666</v>
      </c>
      <c r="I33">
        <f>('Raw Data - Suppliers'!I33-MIN('Raw Data - Suppliers'!I$2:I$36))/(MAX('Raw Data - Suppliers'!I$2:I$36)-MIN('Raw Data - Suppliers'!I$2:I$36))</f>
        <v>0.4</v>
      </c>
      <c r="J33">
        <f>('Raw Data - Suppliers'!J33-MIN('Raw Data - Suppliers'!J$2:J$36))/(MAX('Raw Data - Suppliers'!J$2:J$36)-MIN('Raw Data - Suppliers'!J$2:J$36))</f>
        <v>0.6</v>
      </c>
      <c r="K33">
        <f>1-('Raw Data - Suppliers'!K33-MIN('Raw Data - Suppliers'!K$2:K$36))/(MAX('Raw Data - Suppliers'!K$2:K$36)-MIN('Raw Data - Suppliers'!K$2:K$36))</f>
        <v>0</v>
      </c>
      <c r="L33">
        <f>('Raw Data - Suppliers'!L33-MIN('Raw Data - Suppliers'!L$2:L$36))/(MAX('Raw Data - Suppliers'!L$2:L$36)-MIN('Raw Data - Suppliers'!L$2:L$36))</f>
        <v>0.33333333333333331</v>
      </c>
      <c r="M33">
        <f>1-('Raw Data - Suppliers'!M33-MIN('Raw Data - Suppliers'!M$2:M$36))/(MAX('Raw Data - Suppliers'!M$2:M$36)-MIN('Raw Data - Suppliers'!M$2:M$36))</f>
        <v>1</v>
      </c>
    </row>
    <row r="34" spans="1:13" hidden="1" x14ac:dyDescent="0.3">
      <c r="A34">
        <f>'Raw Data - Suppliers'!A34</f>
        <v>33</v>
      </c>
      <c r="B34">
        <f>('Raw Data - Suppliers'!B34-MIN('Raw Data - Suppliers'!B$2:B$36))/(MAX('Raw Data - Suppliers'!B$2:B$36)-MIN('Raw Data - Suppliers'!B$2:B$36))</f>
        <v>0.33333333333333331</v>
      </c>
      <c r="C34">
        <f>('Raw Data - Suppliers'!C34-MIN('Raw Data - Suppliers'!C$2:C$36))/(MAX('Raw Data - Suppliers'!C$2:C$36)-MIN('Raw Data - Suppliers'!C$2:C$36))</f>
        <v>0.30666666666666664</v>
      </c>
      <c r="D34">
        <f>('Raw Data - Suppliers'!D34-MIN('Raw Data - Suppliers'!D$2:D$36))/(MAX('Raw Data - Suppliers'!D$2:D$36)-MIN('Raw Data - Suppliers'!D$2:D$36))</f>
        <v>0.25</v>
      </c>
      <c r="E34">
        <f>('Raw Data - Suppliers'!E34-MIN('Raw Data - Suppliers'!E$2:E$36))/(MAX('Raw Data - Suppliers'!E$2:E$36)-MIN('Raw Data - Suppliers'!E$2:E$36))</f>
        <v>0.16666666666666666</v>
      </c>
      <c r="F34">
        <f>('Raw Data - Suppliers'!F34-MIN('Raw Data - Suppliers'!F$2:F$36))/(MAX('Raw Data - Suppliers'!F$2:F$36)-MIN('Raw Data - Suppliers'!F$2:F$36))</f>
        <v>0.2</v>
      </c>
      <c r="G34">
        <f>('Raw Data - Suppliers'!G34-MIN('Raw Data - Suppliers'!G$2:G$36))/(MAX('Raw Data - Suppliers'!G$2:G$36)-MIN('Raw Data - Suppliers'!G$2:G$36))</f>
        <v>0.66666666666666663</v>
      </c>
      <c r="H34">
        <f>('Raw Data - Suppliers'!H34-MIN('Raw Data - Suppliers'!H$2:H$36))/(MAX('Raw Data - Suppliers'!H$2:H$36)-MIN('Raw Data - Suppliers'!H$2:H$36))</f>
        <v>0.5</v>
      </c>
      <c r="I34">
        <f>('Raw Data - Suppliers'!I34-MIN('Raw Data - Suppliers'!I$2:I$36))/(MAX('Raw Data - Suppliers'!I$2:I$36)-MIN('Raw Data - Suppliers'!I$2:I$36))</f>
        <v>0.8</v>
      </c>
      <c r="J34">
        <f>('Raw Data - Suppliers'!J34-MIN('Raw Data - Suppliers'!J$2:J$36))/(MAX('Raw Data - Suppliers'!J$2:J$36)-MIN('Raw Data - Suppliers'!J$2:J$36))</f>
        <v>0.4</v>
      </c>
      <c r="K34">
        <f>1-('Raw Data - Suppliers'!K34-MIN('Raw Data - Suppliers'!K$2:K$36))/(MAX('Raw Data - Suppliers'!K$2:K$36)-MIN('Raw Data - Suppliers'!K$2:K$36))</f>
        <v>0.6</v>
      </c>
      <c r="L34">
        <f>('Raw Data - Suppliers'!L34-MIN('Raw Data - Suppliers'!L$2:L$36))/(MAX('Raw Data - Suppliers'!L$2:L$36)-MIN('Raw Data - Suppliers'!L$2:L$36))</f>
        <v>0.77777777777777779</v>
      </c>
      <c r="M34">
        <f>1-('Raw Data - Suppliers'!M34-MIN('Raw Data - Suppliers'!M$2:M$36))/(MAX('Raw Data - Suppliers'!M$2:M$36)-MIN('Raw Data - Suppliers'!M$2:M$36))</f>
        <v>0.8878048780487805</v>
      </c>
    </row>
    <row r="35" spans="1:13" hidden="1" x14ac:dyDescent="0.3">
      <c r="A35">
        <f>'Raw Data - Suppliers'!A35</f>
        <v>34</v>
      </c>
      <c r="B35">
        <f>('Raw Data - Suppliers'!B35-MIN('Raw Data - Suppliers'!B$2:B$36))/(MAX('Raw Data - Suppliers'!B$2:B$36)-MIN('Raw Data - Suppliers'!B$2:B$36))</f>
        <v>0.33333333333333331</v>
      </c>
      <c r="C35">
        <f>('Raw Data - Suppliers'!C35-MIN('Raw Data - Suppliers'!C$2:C$36))/(MAX('Raw Data - Suppliers'!C$2:C$36)-MIN('Raw Data - Suppliers'!C$2:C$36))</f>
        <v>0.04</v>
      </c>
      <c r="D35">
        <f>('Raw Data - Suppliers'!D35-MIN('Raw Data - Suppliers'!D$2:D$36))/(MAX('Raw Data - Suppliers'!D$2:D$36)-MIN('Raw Data - Suppliers'!D$2:D$36))</f>
        <v>0.5</v>
      </c>
      <c r="E35">
        <f>('Raw Data - Suppliers'!E35-MIN('Raw Data - Suppliers'!E$2:E$36))/(MAX('Raw Data - Suppliers'!E$2:E$36)-MIN('Raw Data - Suppliers'!E$2:E$36))</f>
        <v>0.33333333333333331</v>
      </c>
      <c r="F35">
        <f>('Raw Data - Suppliers'!F35-MIN('Raw Data - Suppliers'!F$2:F$36))/(MAX('Raw Data - Suppliers'!F$2:F$36)-MIN('Raw Data - Suppliers'!F$2:F$36))</f>
        <v>0.4</v>
      </c>
      <c r="G35">
        <f>('Raw Data - Suppliers'!G35-MIN('Raw Data - Suppliers'!G$2:G$36))/(MAX('Raw Data - Suppliers'!G$2:G$36)-MIN('Raw Data - Suppliers'!G$2:G$36))</f>
        <v>0.33333333333333331</v>
      </c>
      <c r="H35">
        <f>('Raw Data - Suppliers'!H35-MIN('Raw Data - Suppliers'!H$2:H$36))/(MAX('Raw Data - Suppliers'!H$2:H$36)-MIN('Raw Data - Suppliers'!H$2:H$36))</f>
        <v>0.16666666666666666</v>
      </c>
      <c r="I35">
        <f>('Raw Data - Suppliers'!I35-MIN('Raw Data - Suppliers'!I$2:I$36))/(MAX('Raw Data - Suppliers'!I$2:I$36)-MIN('Raw Data - Suppliers'!I$2:I$36))</f>
        <v>0.6</v>
      </c>
      <c r="J35">
        <f>('Raw Data - Suppliers'!J35-MIN('Raw Data - Suppliers'!J$2:J$36))/(MAX('Raw Data - Suppliers'!J$2:J$36)-MIN('Raw Data - Suppliers'!J$2:J$36))</f>
        <v>0.2</v>
      </c>
      <c r="K35">
        <f>1-('Raw Data - Suppliers'!K35-MIN('Raw Data - Suppliers'!K$2:K$36))/(MAX('Raw Data - Suppliers'!K$2:K$36)-MIN('Raw Data - Suppliers'!K$2:K$36))</f>
        <v>0.8</v>
      </c>
      <c r="L35">
        <f>('Raw Data - Suppliers'!L35-MIN('Raw Data - Suppliers'!L$2:L$36))/(MAX('Raw Data - Suppliers'!L$2:L$36)-MIN('Raw Data - Suppliers'!L$2:L$36))</f>
        <v>0.55555555555555558</v>
      </c>
      <c r="M35">
        <f>1-('Raw Data - Suppliers'!M35-MIN('Raw Data - Suppliers'!M$2:M$36))/(MAX('Raw Data - Suppliers'!M$2:M$36)-MIN('Raw Data - Suppliers'!M$2:M$36))</f>
        <v>0.66341463414634139</v>
      </c>
    </row>
    <row r="36" spans="1:13" hidden="1" x14ac:dyDescent="0.3">
      <c r="A36">
        <f>'Raw Data - Suppliers'!A36</f>
        <v>35</v>
      </c>
      <c r="B36">
        <f>('Raw Data - Suppliers'!B36-MIN('Raw Data - Suppliers'!B$2:B$36))/(MAX('Raw Data - Suppliers'!B$2:B$36)-MIN('Raw Data - Suppliers'!B$2:B$36))</f>
        <v>0</v>
      </c>
      <c r="C36">
        <f>('Raw Data - Suppliers'!C36-MIN('Raw Data - Suppliers'!C$2:C$36))/(MAX('Raw Data - Suppliers'!C$2:C$36)-MIN('Raw Data - Suppliers'!C$2:C$36))</f>
        <v>0.04</v>
      </c>
      <c r="D36">
        <f>('Raw Data - Suppliers'!D36-MIN('Raw Data - Suppliers'!D$2:D$36))/(MAX('Raw Data - Suppliers'!D$2:D$36)-MIN('Raw Data - Suppliers'!D$2:D$36))</f>
        <v>0.75</v>
      </c>
      <c r="E36">
        <f>('Raw Data - Suppliers'!E36-MIN('Raw Data - Suppliers'!E$2:E$36))/(MAX('Raw Data - Suppliers'!E$2:E$36)-MIN('Raw Data - Suppliers'!E$2:E$36))</f>
        <v>0.33333333333333331</v>
      </c>
      <c r="F36">
        <f>('Raw Data - Suppliers'!F36-MIN('Raw Data - Suppliers'!F$2:F$36))/(MAX('Raw Data - Suppliers'!F$2:F$36)-MIN('Raw Data - Suppliers'!F$2:F$36))</f>
        <v>0.4</v>
      </c>
      <c r="G36">
        <f>('Raw Data - Suppliers'!G36-MIN('Raw Data - Suppliers'!G$2:G$36))/(MAX('Raw Data - Suppliers'!G$2:G$36)-MIN('Raw Data - Suppliers'!G$2:G$36))</f>
        <v>0.33333333333333331</v>
      </c>
      <c r="H36">
        <f>('Raw Data - Suppliers'!H36-MIN('Raw Data - Suppliers'!H$2:H$36))/(MAX('Raw Data - Suppliers'!H$2:H$36)-MIN('Raw Data - Suppliers'!H$2:H$36))</f>
        <v>0.16666666666666666</v>
      </c>
      <c r="I36">
        <f>('Raw Data - Suppliers'!I36-MIN('Raw Data - Suppliers'!I$2:I$36))/(MAX('Raw Data - Suppliers'!I$2:I$36)-MIN('Raw Data - Suppliers'!I$2:I$36))</f>
        <v>0.6</v>
      </c>
      <c r="J36">
        <f>('Raw Data - Suppliers'!J36-MIN('Raw Data - Suppliers'!J$2:J$36))/(MAX('Raw Data - Suppliers'!J$2:J$36)-MIN('Raw Data - Suppliers'!J$2:J$36))</f>
        <v>0.6</v>
      </c>
      <c r="K36">
        <f>1-('Raw Data - Suppliers'!K36-MIN('Raw Data - Suppliers'!K$2:K$36))/(MAX('Raw Data - Suppliers'!K$2:K$36)-MIN('Raw Data - Suppliers'!K$2:K$36))</f>
        <v>1</v>
      </c>
      <c r="L36">
        <f>('Raw Data - Suppliers'!L36-MIN('Raw Data - Suppliers'!L$2:L$36))/(MAX('Raw Data - Suppliers'!L$2:L$36)-MIN('Raw Data - Suppliers'!L$2:L$36))</f>
        <v>0.1111111111111111</v>
      </c>
      <c r="M36">
        <f>1-('Raw Data - Suppliers'!M36-MIN('Raw Data - Suppliers'!M$2:M$36))/(MAX('Raw Data - Suppliers'!M$2:M$36)-MIN('Raw Data - Suppliers'!M$2:M$36))</f>
        <v>0.7219512195121951</v>
      </c>
    </row>
  </sheetData>
  <autoFilter ref="A1:M36" xr:uid="{FBBEC7A9-BE00-4F84-AF61-31AC8869BC69}">
    <filterColumn colId="0">
      <filters>
        <filter val="14"/>
        <filter val="24"/>
        <filter val="25"/>
        <filter val="27"/>
        <filter val="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EC92-0886-44F2-ABB3-39CA749B0445}">
  <dimension ref="A1:C14"/>
  <sheetViews>
    <sheetView workbookViewId="0">
      <selection activeCell="E17" sqref="E17"/>
    </sheetView>
  </sheetViews>
  <sheetFormatPr defaultRowHeight="14.4" x14ac:dyDescent="0.3"/>
  <cols>
    <col min="1" max="1" width="48.33203125" customWidth="1"/>
    <col min="2" max="2" width="7" bestFit="1" customWidth="1"/>
    <col min="3" max="3" width="19.44140625" bestFit="1" customWidth="1"/>
  </cols>
  <sheetData>
    <row r="1" spans="1:3" x14ac:dyDescent="0.3">
      <c r="A1" s="6" t="s">
        <v>33</v>
      </c>
      <c r="B1" s="6" t="s">
        <v>13</v>
      </c>
      <c r="C1" s="6" t="s">
        <v>14</v>
      </c>
    </row>
    <row r="2" spans="1:3" x14ac:dyDescent="0.3">
      <c r="A2" s="7" t="s">
        <v>0</v>
      </c>
      <c r="B2" s="7">
        <v>0.15</v>
      </c>
      <c r="C2" s="7" t="s">
        <v>15</v>
      </c>
    </row>
    <row r="3" spans="1:3" x14ac:dyDescent="0.3">
      <c r="A3" s="7" t="s">
        <v>1</v>
      </c>
      <c r="B3" s="7">
        <v>0.05</v>
      </c>
      <c r="C3" s="7" t="s">
        <v>16</v>
      </c>
    </row>
    <row r="4" spans="1:3" x14ac:dyDescent="0.3">
      <c r="A4" s="7" t="s">
        <v>2</v>
      </c>
      <c r="B4" s="7">
        <v>0.08</v>
      </c>
      <c r="C4" s="7" t="s">
        <v>17</v>
      </c>
    </row>
    <row r="5" spans="1:3" x14ac:dyDescent="0.3">
      <c r="A5" s="7" t="s">
        <v>18</v>
      </c>
      <c r="B5" s="7">
        <v>0.08</v>
      </c>
      <c r="C5" s="7" t="s">
        <v>19</v>
      </c>
    </row>
    <row r="6" spans="1:3" x14ac:dyDescent="0.3">
      <c r="A6" s="7" t="s">
        <v>20</v>
      </c>
      <c r="B6" s="7">
        <v>0.1</v>
      </c>
      <c r="C6" s="7" t="s">
        <v>21</v>
      </c>
    </row>
    <row r="7" spans="1:3" x14ac:dyDescent="0.3">
      <c r="A7" s="7" t="s">
        <v>5</v>
      </c>
      <c r="B7" s="7">
        <v>0.08</v>
      </c>
      <c r="C7" s="7" t="s">
        <v>22</v>
      </c>
    </row>
    <row r="8" spans="1:3" x14ac:dyDescent="0.3">
      <c r="A8" s="7" t="s">
        <v>23</v>
      </c>
      <c r="B8" s="7">
        <v>0.08</v>
      </c>
      <c r="C8" s="7" t="s">
        <v>24</v>
      </c>
    </row>
    <row r="9" spans="1:3" x14ac:dyDescent="0.3">
      <c r="A9" s="7" t="s">
        <v>25</v>
      </c>
      <c r="B9" s="7">
        <v>0.05</v>
      </c>
      <c r="C9" s="7" t="s">
        <v>26</v>
      </c>
    </row>
    <row r="10" spans="1:3" x14ac:dyDescent="0.3">
      <c r="A10" s="7" t="s">
        <v>27</v>
      </c>
      <c r="B10" s="7">
        <v>0.05</v>
      </c>
      <c r="C10" s="7" t="s">
        <v>28</v>
      </c>
    </row>
    <row r="11" spans="1:3" x14ac:dyDescent="0.3">
      <c r="A11" s="7" t="s">
        <v>9</v>
      </c>
      <c r="B11" s="7">
        <v>0.15</v>
      </c>
      <c r="C11" s="7" t="s">
        <v>29</v>
      </c>
    </row>
    <row r="12" spans="1:3" x14ac:dyDescent="0.3">
      <c r="A12" s="7" t="s">
        <v>10</v>
      </c>
      <c r="B12" s="7">
        <v>0.12</v>
      </c>
      <c r="C12" s="7" t="s">
        <v>30</v>
      </c>
    </row>
    <row r="13" spans="1:3" x14ac:dyDescent="0.3">
      <c r="A13" s="7" t="s">
        <v>31</v>
      </c>
      <c r="B13" s="7">
        <v>0.01</v>
      </c>
      <c r="C13" s="7" t="s">
        <v>32</v>
      </c>
    </row>
    <row r="14" spans="1:3" x14ac:dyDescent="0.3">
      <c r="B14">
        <f>SUM(B2:B13)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A798-084D-4980-BF79-F07EF4236524}">
  <dimension ref="A1:M36"/>
  <sheetViews>
    <sheetView workbookViewId="0">
      <selection activeCell="A2" sqref="A2"/>
    </sheetView>
  </sheetViews>
  <sheetFormatPr defaultRowHeight="14.4" x14ac:dyDescent="0.3"/>
  <cols>
    <col min="1" max="1" width="9.6640625" bestFit="1" customWidth="1"/>
    <col min="2" max="2" width="17.33203125" customWidth="1"/>
    <col min="3" max="3" width="7.33203125" bestFit="1" customWidth="1"/>
    <col min="4" max="4" width="21.6640625" bestFit="1" customWidth="1"/>
    <col min="5" max="5" width="22.21875" bestFit="1" customWidth="1"/>
    <col min="6" max="6" width="21.33203125" bestFit="1" customWidth="1"/>
    <col min="7" max="7" width="32" bestFit="1" customWidth="1"/>
    <col min="8" max="8" width="21" bestFit="1" customWidth="1"/>
    <col min="9" max="9" width="21.88671875" bestFit="1" customWidth="1"/>
    <col min="10" max="10" width="18.6640625" bestFit="1" customWidth="1"/>
    <col min="11" max="11" width="5.109375" bestFit="1" customWidth="1"/>
    <col min="12" max="12" width="11.109375" bestFit="1" customWidth="1"/>
    <col min="13" max="13" width="19.109375" bestFit="1" customWidth="1"/>
  </cols>
  <sheetData>
    <row r="1" spans="1:13" x14ac:dyDescent="0.3">
      <c r="A1" t="s">
        <v>34</v>
      </c>
      <c r="B1" t="s">
        <v>35</v>
      </c>
      <c r="C1" t="s">
        <v>36</v>
      </c>
      <c r="D1" t="s">
        <v>37</v>
      </c>
      <c r="E1" t="s">
        <v>48</v>
      </c>
      <c r="F1" t="s">
        <v>49</v>
      </c>
      <c r="G1" t="s">
        <v>50</v>
      </c>
      <c r="H1" t="s">
        <v>51</v>
      </c>
      <c r="I1" s="5"/>
      <c r="J1" s="5"/>
      <c r="K1" s="5"/>
      <c r="L1" s="5"/>
      <c r="M1" s="5"/>
    </row>
    <row r="2" spans="1:13" x14ac:dyDescent="0.3">
      <c r="A2">
        <f>'Normalized Data'!A10</f>
        <v>9</v>
      </c>
      <c r="B2" cm="1">
        <f t="array" ref="B2">SUMPRODUCT('Normalized Data'!B10:M10,TRANSPOSE(Weights!$B$2:$B$13))</f>
        <v>0.70421138211382117</v>
      </c>
      <c r="C2">
        <f t="shared" ref="C2:C36" si="0">RANK(B2,$B$2:$B$36,0)</f>
        <v>1</v>
      </c>
      <c r="D2" t="str">
        <f t="shared" ref="D2:D36" si="1">IF(C2&lt;=7,"Preferred",IF(C2&lt;=21,"Approved","Conditional"))</f>
        <v>Preferred</v>
      </c>
      <c r="E2">
        <f>MAX('Normalized Data'!B10:M10)</f>
        <v>1</v>
      </c>
      <c r="F2">
        <f>MIN('Normalized Data'!B10:M10)</f>
        <v>0.2</v>
      </c>
      <c r="G2" t="str">
        <f>INDEX(Weights!$A$2:$A$13,MATCH(MAX('Normalized Data'!B10:M10),'Normalized Data'!B10:M10,0))</f>
        <v>quality</v>
      </c>
      <c r="H2" t="str">
        <f>INDEX(Weights!$A$2:$A$13,MATCH(MIN('Normalized Data'!B10:M10),'Normalized Data'!B10:M10,0))</f>
        <v>business results and employees</v>
      </c>
    </row>
    <row r="3" spans="1:13" x14ac:dyDescent="0.3">
      <c r="A3">
        <f>'Normalized Data'!A25</f>
        <v>24</v>
      </c>
      <c r="B3" cm="1">
        <f t="array" ref="B3">SUMPRODUCT('Normalized Data'!B25:M25,TRANSPOSE(Weights!$B$2:$B$13))</f>
        <v>0.68053658536585371</v>
      </c>
      <c r="C3">
        <f t="shared" si="0"/>
        <v>2</v>
      </c>
      <c r="D3" t="str">
        <f t="shared" si="1"/>
        <v>Preferred</v>
      </c>
      <c r="E3">
        <f>MAX('Normalized Data'!B25:M25)</f>
        <v>1</v>
      </c>
      <c r="F3">
        <f>MIN('Normalized Data'!B25:M25)</f>
        <v>0.30666666666666664</v>
      </c>
      <c r="G3" t="str">
        <f>INDEX(Weights!$A$2:$A$13,MATCH(MAX('Normalized Data'!B25:M25),'Normalized Data'!B25:M25,0))</f>
        <v>reputation and competence</v>
      </c>
      <c r="H3" t="str">
        <f>INDEX(Weights!$A$2:$A$13,MATCH(MIN('Normalized Data'!B25:M25),'Normalized Data'!B25:M25,0))</f>
        <v>quantity</v>
      </c>
    </row>
    <row r="4" spans="1:13" x14ac:dyDescent="0.3">
      <c r="A4">
        <f>'Normalized Data'!A15</f>
        <v>14</v>
      </c>
      <c r="B4" cm="1">
        <f t="array" ref="B4">SUMPRODUCT('Normalized Data'!B15:M15,TRANSPOSE(Weights!$B$2:$B$13))</f>
        <v>0.65834146341463418</v>
      </c>
      <c r="C4">
        <f t="shared" si="0"/>
        <v>3</v>
      </c>
      <c r="D4" t="str">
        <f t="shared" si="1"/>
        <v>Preferred</v>
      </c>
      <c r="E4">
        <f>MAX('Normalized Data'!B15:M15)</f>
        <v>1</v>
      </c>
      <c r="F4">
        <f>MIN('Normalized Data'!B15:M15)</f>
        <v>0.44</v>
      </c>
      <c r="G4" t="str">
        <f>INDEX(Weights!$A$2:$A$13,MATCH(MAX('Normalized Data'!B15:M15),'Normalized Data'!B15:M15,0))</f>
        <v>conditions and method of payment</v>
      </c>
      <c r="H4" t="str">
        <f>INDEX(Weights!$A$2:$A$13,MATCH(MIN('Normalized Data'!B15:M15),'Normalized Data'!B15:M15,0))</f>
        <v>quantity</v>
      </c>
    </row>
    <row r="5" spans="1:13" x14ac:dyDescent="0.3">
      <c r="A5">
        <f>'Normalized Data'!A28</f>
        <v>27</v>
      </c>
      <c r="B5" cm="1">
        <f t="array" ref="B5">SUMPRODUCT('Normalized Data'!B28:M28,TRANSPOSE(Weights!$B$2:$B$13))</f>
        <v>0.62347967479674804</v>
      </c>
      <c r="C5">
        <f t="shared" si="0"/>
        <v>4</v>
      </c>
      <c r="D5" t="str">
        <f t="shared" si="1"/>
        <v>Preferred</v>
      </c>
      <c r="E5">
        <f>MAX('Normalized Data'!B28:M28)</f>
        <v>1</v>
      </c>
      <c r="F5">
        <f>MIN('Normalized Data'!B28:M28)</f>
        <v>0.33333333333333331</v>
      </c>
      <c r="G5" t="str">
        <f>INDEX(Weights!$A$2:$A$13,MATCH(MAX('Normalized Data'!B28:M28),'Normalized Data'!B28:M28,0))</f>
        <v>serviceability and communicativeness</v>
      </c>
      <c r="H5" t="str">
        <f>INDEX(Weights!$A$2:$A$13,MATCH(MIN('Normalized Data'!B28:M28),'Normalized Data'!B28:M28,0))</f>
        <v>quality</v>
      </c>
    </row>
    <row r="6" spans="1:13" x14ac:dyDescent="0.3">
      <c r="A6">
        <f>'Normalized Data'!A26</f>
        <v>25</v>
      </c>
      <c r="B6" cm="1">
        <f t="array" ref="B6">SUMPRODUCT('Normalized Data'!B26:M26,TRANSPOSE(Weights!$B$2:$B$13))</f>
        <v>0.61860162601626023</v>
      </c>
      <c r="C6">
        <f t="shared" si="0"/>
        <v>5</v>
      </c>
      <c r="D6" t="str">
        <f t="shared" si="1"/>
        <v>Preferred</v>
      </c>
      <c r="E6">
        <f>MAX('Normalized Data'!B26:M26)</f>
        <v>1</v>
      </c>
      <c r="F6">
        <f>MIN('Normalized Data'!B26:M26)</f>
        <v>0</v>
      </c>
      <c r="G6" t="str">
        <f>INDEX(Weights!$A$2:$A$13,MATCH(MAX('Normalized Data'!B26:M26),'Normalized Data'!B26:M26,0))</f>
        <v>reputation and competence</v>
      </c>
      <c r="H6" t="str">
        <f>INDEX(Weights!$A$2:$A$13,MATCH(MIN('Normalized Data'!B26:M26),'Normalized Data'!B26:M26,0))</f>
        <v>quality</v>
      </c>
    </row>
    <row r="7" spans="1:13" x14ac:dyDescent="0.3">
      <c r="A7">
        <f>'Normalized Data'!A14</f>
        <v>13</v>
      </c>
      <c r="B7" cm="1">
        <f t="array" ref="B7">SUMPRODUCT('Normalized Data'!B14:M14,TRANSPOSE(Weights!$B$2:$B$13))</f>
        <v>0.6014959349593495</v>
      </c>
      <c r="C7">
        <f t="shared" si="0"/>
        <v>6</v>
      </c>
      <c r="D7" t="str">
        <f t="shared" si="1"/>
        <v>Preferred</v>
      </c>
      <c r="E7">
        <f>MAX('Normalized Data'!B14:M14)</f>
        <v>1</v>
      </c>
      <c r="F7">
        <f>MIN('Normalized Data'!B14:M14)</f>
        <v>9.3333333333333338E-2</v>
      </c>
      <c r="G7" t="str">
        <f>INDEX(Weights!$A$2:$A$13,MATCH(MAX('Normalized Data'!B14:M14),'Normalized Data'!B14:M14,0))</f>
        <v>conditions and method of payment</v>
      </c>
      <c r="H7" t="str">
        <f>INDEX(Weights!$A$2:$A$13,MATCH(MIN('Normalized Data'!B14:M14),'Normalized Data'!B14:M14,0))</f>
        <v>quantity</v>
      </c>
    </row>
    <row r="8" spans="1:13" x14ac:dyDescent="0.3">
      <c r="A8">
        <f>'Normalized Data'!A17</f>
        <v>16</v>
      </c>
      <c r="B8" cm="1">
        <f t="array" ref="B8">SUMPRODUCT('Normalized Data'!B17:M17,TRANSPOSE(Weights!$B$2:$B$13))</f>
        <v>0.59533333333333327</v>
      </c>
      <c r="C8">
        <f t="shared" si="0"/>
        <v>7</v>
      </c>
      <c r="D8" t="str">
        <f t="shared" si="1"/>
        <v>Preferred</v>
      </c>
      <c r="E8">
        <f>MAX('Normalized Data'!B17:M17)</f>
        <v>1</v>
      </c>
      <c r="F8">
        <f>MIN('Normalized Data'!B17:M17)</f>
        <v>0</v>
      </c>
      <c r="G8" t="str">
        <f>INDEX(Weights!$A$2:$A$13,MATCH(MAX('Normalized Data'!B17:M17),'Normalized Data'!B17:M17,0))</f>
        <v>quality</v>
      </c>
      <c r="H8" t="str">
        <f>INDEX(Weights!$A$2:$A$13,MATCH(MIN('Normalized Data'!B17:M17),'Normalized Data'!B17:M17,0))</f>
        <v>location and traffic</v>
      </c>
    </row>
    <row r="9" spans="1:13" x14ac:dyDescent="0.3">
      <c r="A9">
        <f>'Normalized Data'!A12</f>
        <v>11</v>
      </c>
      <c r="B9" cm="1">
        <f t="array" ref="B9">SUMPRODUCT('Normalized Data'!B12:M12,TRANSPOSE(Weights!$B$2:$B$13))</f>
        <v>0.57853658536585373</v>
      </c>
      <c r="C9">
        <f t="shared" si="0"/>
        <v>8</v>
      </c>
      <c r="D9" t="str">
        <f t="shared" si="1"/>
        <v>Approved</v>
      </c>
      <c r="E9">
        <f>MAX('Normalized Data'!B12:M12)</f>
        <v>1</v>
      </c>
      <c r="F9">
        <f>MIN('Normalized Data'!B12:M12)</f>
        <v>0</v>
      </c>
      <c r="G9" t="str">
        <f>INDEX(Weights!$A$2:$A$13,MATCH(MAX('Normalized Data'!B12:M12),'Normalized Data'!B12:M12,0))</f>
        <v>quality</v>
      </c>
      <c r="H9" t="str">
        <f>INDEX(Weights!$A$2:$A$13,MATCH(MIN('Normalized Data'!B12:M12),'Normalized Data'!B12:M12,0))</f>
        <v>quantity</v>
      </c>
    </row>
    <row r="10" spans="1:13" x14ac:dyDescent="0.3">
      <c r="A10">
        <f>'Normalized Data'!A27</f>
        <v>26</v>
      </c>
      <c r="B10" cm="1">
        <f t="array" ref="B10">SUMPRODUCT('Normalized Data'!B27:M27,TRANSPOSE(Weights!$B$2:$B$13))</f>
        <v>0.57284552845528458</v>
      </c>
      <c r="C10">
        <f t="shared" si="0"/>
        <v>9</v>
      </c>
      <c r="D10" t="str">
        <f t="shared" si="1"/>
        <v>Approved</v>
      </c>
      <c r="E10">
        <f>MAX('Normalized Data'!B27:M27)</f>
        <v>1</v>
      </c>
      <c r="F10">
        <f>MIN('Normalized Data'!B27:M27)</f>
        <v>0</v>
      </c>
      <c r="G10" t="str">
        <f>INDEX(Weights!$A$2:$A$13,MATCH(MAX('Normalized Data'!B27:M27),'Normalized Data'!B27:M27,0))</f>
        <v>financial condition</v>
      </c>
      <c r="H10" t="str">
        <f>INDEX(Weights!$A$2:$A$13,MATCH(MIN('Normalized Data'!B27:M27),'Normalized Data'!B27:M27,0))</f>
        <v>quantity</v>
      </c>
    </row>
    <row r="11" spans="1:13" x14ac:dyDescent="0.3">
      <c r="A11">
        <f>'Normalized Data'!A5</f>
        <v>4</v>
      </c>
      <c r="B11" cm="1">
        <f t="array" ref="B11">SUMPRODUCT('Normalized Data'!B5:M5,TRANSPOSE(Weights!$B$2:$B$13))</f>
        <v>0.5547804878048781</v>
      </c>
      <c r="C11">
        <f t="shared" si="0"/>
        <v>10</v>
      </c>
      <c r="D11" t="str">
        <f t="shared" si="1"/>
        <v>Approved</v>
      </c>
      <c r="E11">
        <f>MAX('Normalized Data'!B5:M5)</f>
        <v>1</v>
      </c>
      <c r="F11">
        <f>MIN('Normalized Data'!B5:M5)</f>
        <v>0.1111111111111111</v>
      </c>
      <c r="G11" t="str">
        <f>INDEX(Weights!$A$2:$A$13,MATCH(MAX('Normalized Data'!B5:M5),'Normalized Data'!B5:M5,0))</f>
        <v>flexibility</v>
      </c>
      <c r="H11" t="str">
        <f>INDEX(Weights!$A$2:$A$13,MATCH(MIN('Normalized Data'!B5:M5),'Normalized Data'!B5:M5,0))</f>
        <v>delivery time</v>
      </c>
    </row>
    <row r="12" spans="1:13" x14ac:dyDescent="0.3">
      <c r="A12">
        <f>'Normalized Data'!A21</f>
        <v>20</v>
      </c>
      <c r="B12" cm="1">
        <f t="array" ref="B12">SUMPRODUCT('Normalized Data'!B21:M21,TRANSPOSE(Weights!$B$2:$B$13))</f>
        <v>0.53559349593495942</v>
      </c>
      <c r="C12">
        <f t="shared" si="0"/>
        <v>11</v>
      </c>
      <c r="D12" t="str">
        <f t="shared" si="1"/>
        <v>Approved</v>
      </c>
      <c r="E12">
        <f>MAX('Normalized Data'!B21:M21)</f>
        <v>1</v>
      </c>
      <c r="F12">
        <f>MIN('Normalized Data'!B21:M21)</f>
        <v>0.16666666666666666</v>
      </c>
      <c r="G12" t="str">
        <f>INDEX(Weights!$A$2:$A$13,MATCH(MAX('Normalized Data'!B21:M21),'Normalized Data'!B21:M21,0))</f>
        <v>price</v>
      </c>
      <c r="H12" t="str">
        <f>INDEX(Weights!$A$2:$A$13,MATCH(MIN('Normalized Data'!B21:M21),'Normalized Data'!B21:M21,0))</f>
        <v>serviceability and communicativeness</v>
      </c>
    </row>
    <row r="13" spans="1:13" x14ac:dyDescent="0.3">
      <c r="A13">
        <f>'Normalized Data'!A24</f>
        <v>23</v>
      </c>
      <c r="B13" cm="1">
        <f t="array" ref="B13">SUMPRODUCT('Normalized Data'!B24:M24,TRANSPOSE(Weights!$B$2:$B$13))</f>
        <v>0.53435772357723588</v>
      </c>
      <c r="C13">
        <f t="shared" si="0"/>
        <v>12</v>
      </c>
      <c r="D13" t="str">
        <f t="shared" si="1"/>
        <v>Approved</v>
      </c>
      <c r="E13">
        <f>MAX('Normalized Data'!B24:M24)</f>
        <v>0.90243902439024393</v>
      </c>
      <c r="F13">
        <f>MIN('Normalized Data'!B24:M24)</f>
        <v>0.2</v>
      </c>
      <c r="G13" t="str">
        <f>INDEX(Weights!$A$2:$A$13,MATCH(MAX('Normalized Data'!B24:M24),'Normalized Data'!B24:M24,0))</f>
        <v>location and traffic</v>
      </c>
      <c r="H13" t="str">
        <f>INDEX(Weights!$A$2:$A$13,MATCH(MIN('Normalized Data'!B24:M24),'Normalized Data'!B24:M24,0))</f>
        <v>condition of assets</v>
      </c>
    </row>
    <row r="14" spans="1:13" x14ac:dyDescent="0.3">
      <c r="A14">
        <f>'Normalized Data'!A16</f>
        <v>15</v>
      </c>
      <c r="B14" cm="1">
        <f t="array" ref="B14">SUMPRODUCT('Normalized Data'!B16:M16,TRANSPOSE(Weights!$B$2:$B$13))</f>
        <v>0.52541463414634149</v>
      </c>
      <c r="C14">
        <f t="shared" si="0"/>
        <v>13</v>
      </c>
      <c r="D14" t="str">
        <f t="shared" si="1"/>
        <v>Approved</v>
      </c>
      <c r="E14">
        <f>MAX('Normalized Data'!B16:M16)</f>
        <v>0.8</v>
      </c>
      <c r="F14">
        <f>MIN('Normalized Data'!B16:M16)</f>
        <v>0.2</v>
      </c>
      <c r="G14" t="str">
        <f>INDEX(Weights!$A$2:$A$13,MATCH(MAX('Normalized Data'!B16:M16),'Normalized Data'!B16:M16,0))</f>
        <v>price</v>
      </c>
      <c r="H14" t="str">
        <f>INDEX(Weights!$A$2:$A$13,MATCH(MIN('Normalized Data'!B16:M16),'Normalized Data'!B16:M16,0))</f>
        <v>business results and employees</v>
      </c>
    </row>
    <row r="15" spans="1:13" x14ac:dyDescent="0.3">
      <c r="A15">
        <f>'Normalized Data'!A11</f>
        <v>10</v>
      </c>
      <c r="B15" cm="1">
        <f t="array" ref="B15">SUMPRODUCT('Normalized Data'!B11:M11,TRANSPOSE(Weights!$B$2:$B$13))</f>
        <v>0.52295934959349599</v>
      </c>
      <c r="C15">
        <f t="shared" si="0"/>
        <v>14</v>
      </c>
      <c r="D15" t="str">
        <f t="shared" si="1"/>
        <v>Approved</v>
      </c>
      <c r="E15">
        <f>MAX('Normalized Data'!B11:M11)</f>
        <v>1</v>
      </c>
      <c r="F15">
        <f>MIN('Normalized Data'!B11:M11)</f>
        <v>0.1111111111111111</v>
      </c>
      <c r="G15" t="str">
        <f>INDEX(Weights!$A$2:$A$13,MATCH(MAX('Normalized Data'!B11:M11),'Normalized Data'!B11:M11,0))</f>
        <v>serviceability and communicativeness</v>
      </c>
      <c r="H15" t="str">
        <f>INDEX(Weights!$A$2:$A$13,MATCH(MIN('Normalized Data'!B11:M11),'Normalized Data'!B11:M11,0))</f>
        <v>delivery time</v>
      </c>
    </row>
    <row r="16" spans="1:13" x14ac:dyDescent="0.3">
      <c r="A16">
        <f>'Normalized Data'!A22</f>
        <v>21</v>
      </c>
      <c r="B16" cm="1">
        <f t="array" ref="B16">SUMPRODUCT('Normalized Data'!B22:M22,TRANSPOSE(Weights!$B$2:$B$13))</f>
        <v>0.52284552845528465</v>
      </c>
      <c r="C16">
        <f t="shared" si="0"/>
        <v>15</v>
      </c>
      <c r="D16" t="str">
        <f t="shared" si="1"/>
        <v>Approved</v>
      </c>
      <c r="E16">
        <f>MAX('Normalized Data'!B22:M22)</f>
        <v>1</v>
      </c>
      <c r="F16">
        <f>MIN('Normalized Data'!B22:M22)</f>
        <v>0</v>
      </c>
      <c r="G16" t="str">
        <f>INDEX(Weights!$A$2:$A$13,MATCH(MAX('Normalized Data'!B22:M22),'Normalized Data'!B22:M22,0))</f>
        <v>quality</v>
      </c>
      <c r="H16" t="str">
        <f>INDEX(Weights!$A$2:$A$13,MATCH(MIN('Normalized Data'!B22:M22),'Normalized Data'!B22:M22,0))</f>
        <v>conditions and method of payment</v>
      </c>
    </row>
    <row r="17" spans="1:8" x14ac:dyDescent="0.3">
      <c r="A17">
        <f>'Normalized Data'!A29</f>
        <v>28</v>
      </c>
      <c r="B17" cm="1">
        <f t="array" ref="B17">SUMPRODUCT('Normalized Data'!B29:M29,TRANSPOSE(Weights!$B$2:$B$13))</f>
        <v>0.5102439024390244</v>
      </c>
      <c r="C17">
        <f t="shared" si="0"/>
        <v>16</v>
      </c>
      <c r="D17" t="str">
        <f t="shared" si="1"/>
        <v>Approved</v>
      </c>
      <c r="E17">
        <f>MAX('Normalized Data'!B29:M29)</f>
        <v>0.82439024390243909</v>
      </c>
      <c r="F17">
        <f>MIN('Normalized Data'!B29:M29)</f>
        <v>0.2</v>
      </c>
      <c r="G17" t="str">
        <f>INDEX(Weights!$A$2:$A$13,MATCH(MAX('Normalized Data'!B29:M29),'Normalized Data'!B29:M29,0))</f>
        <v>location and traffic</v>
      </c>
      <c r="H17" t="str">
        <f>INDEX(Weights!$A$2:$A$13,MATCH(MIN('Normalized Data'!B29:M29),'Normalized Data'!B29:M29,0))</f>
        <v>condition of assets</v>
      </c>
    </row>
    <row r="18" spans="1:8" x14ac:dyDescent="0.3">
      <c r="A18">
        <f>'Normalized Data'!A18</f>
        <v>17</v>
      </c>
      <c r="B18" cm="1">
        <f t="array" ref="B18">SUMPRODUCT('Normalized Data'!B18:M18,TRANSPOSE(Weights!$B$2:$B$13))</f>
        <v>0.49260162601626017</v>
      </c>
      <c r="C18">
        <f t="shared" si="0"/>
        <v>17</v>
      </c>
      <c r="D18" t="str">
        <f t="shared" si="1"/>
        <v>Approved</v>
      </c>
      <c r="E18">
        <f>MAX('Normalized Data'!B18:M18)</f>
        <v>1</v>
      </c>
      <c r="F18">
        <f>MIN('Normalized Data'!B18:M18)</f>
        <v>0</v>
      </c>
      <c r="G18" t="str">
        <f>INDEX(Weights!$A$2:$A$13,MATCH(MAX('Normalized Data'!B18:M18),'Normalized Data'!B18:M18,0))</f>
        <v>quantity</v>
      </c>
      <c r="H18" t="str">
        <f>INDEX(Weights!$A$2:$A$13,MATCH(MIN('Normalized Data'!B18:M18),'Normalized Data'!B18:M18,0))</f>
        <v>quality</v>
      </c>
    </row>
    <row r="19" spans="1:8" x14ac:dyDescent="0.3">
      <c r="A19">
        <f>'Normalized Data'!A23</f>
        <v>22</v>
      </c>
      <c r="B19" cm="1">
        <f t="array" ref="B19">SUMPRODUCT('Normalized Data'!B23:M23,TRANSPOSE(Weights!$B$2:$B$13))</f>
        <v>0.48671544715447157</v>
      </c>
      <c r="C19">
        <f t="shared" si="0"/>
        <v>18</v>
      </c>
      <c r="D19" t="str">
        <f t="shared" si="1"/>
        <v>Approved</v>
      </c>
      <c r="E19">
        <f>MAX('Normalized Data'!B23:M23)</f>
        <v>1</v>
      </c>
      <c r="F19">
        <f>MIN('Normalized Data'!B23:M23)</f>
        <v>0.16666666666666666</v>
      </c>
      <c r="G19" t="str">
        <f>INDEX(Weights!$A$2:$A$13,MATCH(MAX('Normalized Data'!B23:M23),'Normalized Data'!B23:M23,0))</f>
        <v>price</v>
      </c>
      <c r="H19" t="str">
        <f>INDEX(Weights!$A$2:$A$13,MATCH(MIN('Normalized Data'!B23:M23),'Normalized Data'!B23:M23,0))</f>
        <v>financial condition</v>
      </c>
    </row>
    <row r="20" spans="1:8" x14ac:dyDescent="0.3">
      <c r="A20">
        <f>'Normalized Data'!A34</f>
        <v>33</v>
      </c>
      <c r="B20" cm="1">
        <f t="array" ref="B20">SUMPRODUCT('Normalized Data'!B34:M34,TRANSPOSE(Weights!$B$2:$B$13))</f>
        <v>0.46421138211382112</v>
      </c>
      <c r="C20">
        <f t="shared" si="0"/>
        <v>19</v>
      </c>
      <c r="D20" t="str">
        <f t="shared" si="1"/>
        <v>Approved</v>
      </c>
      <c r="E20">
        <f>MAX('Normalized Data'!B34:M34)</f>
        <v>0.8878048780487805</v>
      </c>
      <c r="F20">
        <f>MIN('Normalized Data'!B34:M34)</f>
        <v>0.16666666666666666</v>
      </c>
      <c r="G20" t="str">
        <f>INDEX(Weights!$A$2:$A$13,MATCH(MAX('Normalized Data'!B34:M34),'Normalized Data'!B34:M34,0))</f>
        <v>location and traffic</v>
      </c>
      <c r="H20" t="str">
        <f>INDEX(Weights!$A$2:$A$13,MATCH(MIN('Normalized Data'!B34:M34),'Normalized Data'!B34:M34,0))</f>
        <v>serviceability and communicativeness</v>
      </c>
    </row>
    <row r="21" spans="1:8" x14ac:dyDescent="0.3">
      <c r="A21">
        <f>'Normalized Data'!A30</f>
        <v>29</v>
      </c>
      <c r="B21" cm="1">
        <f t="array" ref="B21">SUMPRODUCT('Normalized Data'!B30:M30,TRANSPOSE(Weights!$B$2:$B$13))</f>
        <v>0.43196747967479676</v>
      </c>
      <c r="C21">
        <f t="shared" si="0"/>
        <v>20</v>
      </c>
      <c r="D21" t="str">
        <f t="shared" si="1"/>
        <v>Approved</v>
      </c>
      <c r="E21">
        <f>MAX('Normalized Data'!B30:M30)</f>
        <v>1</v>
      </c>
      <c r="F21">
        <f>MIN('Normalized Data'!B30:M30)</f>
        <v>0</v>
      </c>
      <c r="G21" t="str">
        <f>INDEX(Weights!$A$2:$A$13,MATCH(MAX('Normalized Data'!B30:M30),'Normalized Data'!B30:M30,0))</f>
        <v>conditions and method of payment</v>
      </c>
      <c r="H21" t="str">
        <f>INDEX(Weights!$A$2:$A$13,MATCH(MIN('Normalized Data'!B30:M30),'Normalized Data'!B30:M30,0))</f>
        <v>serviceability and communicativeness</v>
      </c>
    </row>
    <row r="22" spans="1:8" x14ac:dyDescent="0.3">
      <c r="A22">
        <f>'Normalized Data'!A35</f>
        <v>34</v>
      </c>
      <c r="B22" cm="1">
        <f t="array" ref="B22">SUMPRODUCT('Normalized Data'!B35:M35,TRANSPOSE(Weights!$B$2:$B$13))</f>
        <v>0.43196747967479676</v>
      </c>
      <c r="C22">
        <f t="shared" si="0"/>
        <v>20</v>
      </c>
      <c r="D22" t="str">
        <f t="shared" si="1"/>
        <v>Approved</v>
      </c>
      <c r="E22">
        <f>MAX('Normalized Data'!B35:M35)</f>
        <v>0.8</v>
      </c>
      <c r="F22">
        <f>MIN('Normalized Data'!B35:M35)</f>
        <v>0.04</v>
      </c>
      <c r="G22" t="str">
        <f>INDEX(Weights!$A$2:$A$13,MATCH(MAX('Normalized Data'!B35:M35),'Normalized Data'!B35:M35,0))</f>
        <v>price</v>
      </c>
      <c r="H22" t="str">
        <f>INDEX(Weights!$A$2:$A$13,MATCH(MIN('Normalized Data'!B35:M35),'Normalized Data'!B35:M35,0))</f>
        <v>quantity</v>
      </c>
    </row>
    <row r="23" spans="1:8" x14ac:dyDescent="0.3">
      <c r="A23">
        <f>'Normalized Data'!A4</f>
        <v>3</v>
      </c>
      <c r="B23" cm="1">
        <f t="array" ref="B23">SUMPRODUCT('Normalized Data'!B4:M4,TRANSPOSE(Weights!$B$2:$B$13))</f>
        <v>0.43126829268292682</v>
      </c>
      <c r="C23">
        <f t="shared" si="0"/>
        <v>22</v>
      </c>
      <c r="D23" t="str">
        <f t="shared" si="1"/>
        <v>Conditional</v>
      </c>
      <c r="E23">
        <f>MAX('Normalized Data'!B4:M4)</f>
        <v>1</v>
      </c>
      <c r="F23">
        <f>MIN('Normalized Data'!B4:M4)</f>
        <v>0</v>
      </c>
      <c r="G23" t="str">
        <f>INDEX(Weights!$A$2:$A$13,MATCH(MAX('Normalized Data'!B4:M4),'Normalized Data'!B4:M4,0))</f>
        <v>condition of assets</v>
      </c>
      <c r="H23" t="str">
        <f>INDEX(Weights!$A$2:$A$13,MATCH(MIN('Normalized Data'!B4:M4),'Normalized Data'!B4:M4,0))</f>
        <v>quality</v>
      </c>
    </row>
    <row r="24" spans="1:8" x14ac:dyDescent="0.3">
      <c r="A24">
        <f>'Normalized Data'!A20</f>
        <v>19</v>
      </c>
      <c r="B24" cm="1">
        <f t="array" ref="B24">SUMPRODUCT('Normalized Data'!B20:M20,TRANSPOSE(Weights!$B$2:$B$13))</f>
        <v>0.423869918699187</v>
      </c>
      <c r="C24">
        <f t="shared" si="0"/>
        <v>23</v>
      </c>
      <c r="D24" t="str">
        <f t="shared" si="1"/>
        <v>Conditional</v>
      </c>
      <c r="E24">
        <f>MAX('Normalized Data'!B20:M20)</f>
        <v>1</v>
      </c>
      <c r="F24">
        <f>MIN('Normalized Data'!B20:M20)</f>
        <v>0</v>
      </c>
      <c r="G24" t="str">
        <f>INDEX(Weights!$A$2:$A$13,MATCH(MAX('Normalized Data'!B20:M20),'Normalized Data'!B20:M20,0))</f>
        <v>quality</v>
      </c>
      <c r="H24" t="str">
        <f>INDEX(Weights!$A$2:$A$13,MATCH(MIN('Normalized Data'!B20:M20),'Normalized Data'!B20:M20,0))</f>
        <v>serviceability and communicativeness</v>
      </c>
    </row>
    <row r="25" spans="1:8" x14ac:dyDescent="0.3">
      <c r="A25">
        <f>'Normalized Data'!A36</f>
        <v>35</v>
      </c>
      <c r="B25" cm="1">
        <f t="array" ref="B25">SUMPRODUCT('Normalized Data'!B36:M36,TRANSPOSE(Weights!$B$2:$B$13))</f>
        <v>0.39921951219512197</v>
      </c>
      <c r="C25">
        <f t="shared" si="0"/>
        <v>24</v>
      </c>
      <c r="D25" t="str">
        <f t="shared" si="1"/>
        <v>Conditional</v>
      </c>
      <c r="E25">
        <f>MAX('Normalized Data'!B36:M36)</f>
        <v>1</v>
      </c>
      <c r="F25">
        <f>MIN('Normalized Data'!B36:M36)</f>
        <v>0</v>
      </c>
      <c r="G25" t="str">
        <f>INDEX(Weights!$A$2:$A$13,MATCH(MAX('Normalized Data'!B36:M36),'Normalized Data'!B36:M36,0))</f>
        <v>price</v>
      </c>
      <c r="H25" t="str">
        <f>INDEX(Weights!$A$2:$A$13,MATCH(MIN('Normalized Data'!B36:M36),'Normalized Data'!B36:M36,0))</f>
        <v>quality</v>
      </c>
    </row>
    <row r="26" spans="1:8" x14ac:dyDescent="0.3">
      <c r="A26">
        <f>'Normalized Data'!A7</f>
        <v>6</v>
      </c>
      <c r="B26" cm="1">
        <f t="array" ref="B26">SUMPRODUCT('Normalized Data'!B7:M7,TRANSPOSE(Weights!$B$2:$B$13))</f>
        <v>0.38871544715447159</v>
      </c>
      <c r="C26">
        <f t="shared" si="0"/>
        <v>25</v>
      </c>
      <c r="D26" t="str">
        <f t="shared" si="1"/>
        <v>Conditional</v>
      </c>
      <c r="E26">
        <f>MAX('Normalized Data'!B7:M7)</f>
        <v>1</v>
      </c>
      <c r="F26">
        <f>MIN('Normalized Data'!B7:M7)</f>
        <v>0</v>
      </c>
      <c r="G26" t="str">
        <f>INDEX(Weights!$A$2:$A$13,MATCH(MAX('Normalized Data'!B7:M7),'Normalized Data'!B7:M7,0))</f>
        <v>financial condition</v>
      </c>
      <c r="H26" t="str">
        <f>INDEX(Weights!$A$2:$A$13,MATCH(MIN('Normalized Data'!B7:M7),'Normalized Data'!B7:M7,0))</f>
        <v>conditions and method of payment</v>
      </c>
    </row>
    <row r="27" spans="1:8" x14ac:dyDescent="0.3">
      <c r="A27">
        <f>'Normalized Data'!A2</f>
        <v>1</v>
      </c>
      <c r="B27" cm="1">
        <f t="array" ref="B27">SUMPRODUCT('Normalized Data'!B2:M2,TRANSPOSE(Weights!$B$2:$B$13))</f>
        <v>0.37029268292682926</v>
      </c>
      <c r="C27">
        <f t="shared" si="0"/>
        <v>26</v>
      </c>
      <c r="D27" t="str">
        <f t="shared" si="1"/>
        <v>Conditional</v>
      </c>
      <c r="E27">
        <f>MAX('Normalized Data'!B2:M2)</f>
        <v>0.82926829268292679</v>
      </c>
      <c r="F27">
        <f>MIN('Normalized Data'!B2:M2)</f>
        <v>0</v>
      </c>
      <c r="G27" t="str">
        <f>INDEX(Weights!$A$2:$A$13,MATCH(MAX('Normalized Data'!B2:M2),'Normalized Data'!B2:M2,0))</f>
        <v>location and traffic</v>
      </c>
      <c r="H27" t="str">
        <f>INDEX(Weights!$A$2:$A$13,MATCH(MIN('Normalized Data'!B2:M2),'Normalized Data'!B2:M2,0))</f>
        <v>serviceability and communicativeness</v>
      </c>
    </row>
    <row r="28" spans="1:8" x14ac:dyDescent="0.3">
      <c r="A28">
        <f>'Normalized Data'!A9</f>
        <v>8</v>
      </c>
      <c r="B28" cm="1">
        <f t="array" ref="B28">SUMPRODUCT('Normalized Data'!B9:M9,TRANSPOSE(Weights!$B$2:$B$13))</f>
        <v>0.36559349593495938</v>
      </c>
      <c r="C28">
        <f t="shared" si="0"/>
        <v>27</v>
      </c>
      <c r="D28" t="str">
        <f t="shared" si="1"/>
        <v>Conditional</v>
      </c>
      <c r="E28">
        <f>MAX('Normalized Data'!B9:M9)</f>
        <v>0.77777777777777779</v>
      </c>
      <c r="F28">
        <f>MIN('Normalized Data'!B9:M9)</f>
        <v>0</v>
      </c>
      <c r="G28" t="str">
        <f>INDEX(Weights!$A$2:$A$13,MATCH(MAX('Normalized Data'!B9:M9),'Normalized Data'!B9:M9,0))</f>
        <v>delivery time</v>
      </c>
      <c r="H28" t="str">
        <f>INDEX(Weights!$A$2:$A$13,MATCH(MIN('Normalized Data'!B9:M9),'Normalized Data'!B9:M9,0))</f>
        <v>conditions and method of payment</v>
      </c>
    </row>
    <row r="29" spans="1:8" x14ac:dyDescent="0.3">
      <c r="A29">
        <f>'Normalized Data'!A19</f>
        <v>18</v>
      </c>
      <c r="B29" cm="1">
        <f t="array" ref="B29">SUMPRODUCT('Normalized Data'!B19:M19,TRANSPOSE(Weights!$B$2:$B$13))</f>
        <v>0.35666666666666669</v>
      </c>
      <c r="C29">
        <f t="shared" si="0"/>
        <v>28</v>
      </c>
      <c r="D29" t="str">
        <f t="shared" si="1"/>
        <v>Conditional</v>
      </c>
      <c r="E29">
        <f>MAX('Normalized Data'!B19:M19)</f>
        <v>0.8</v>
      </c>
      <c r="F29">
        <f>MIN('Normalized Data'!B19:M19)</f>
        <v>0</v>
      </c>
      <c r="G29" t="str">
        <f>INDEX(Weights!$A$2:$A$13,MATCH(MAX('Normalized Data'!B19:M19),'Normalized Data'!B19:M19,0))</f>
        <v>location and traffic</v>
      </c>
      <c r="H29" t="str">
        <f>INDEX(Weights!$A$2:$A$13,MATCH(MIN('Normalized Data'!B19:M19),'Normalized Data'!B19:M19,0))</f>
        <v>conditions and method of payment</v>
      </c>
    </row>
    <row r="30" spans="1:8" x14ac:dyDescent="0.3">
      <c r="A30">
        <f>'Normalized Data'!A13</f>
        <v>12</v>
      </c>
      <c r="B30" cm="1">
        <f t="array" ref="B30">SUMPRODUCT('Normalized Data'!B13:M13,TRANSPOSE(Weights!$B$2:$B$13))</f>
        <v>0.34756097560975613</v>
      </c>
      <c r="C30">
        <f t="shared" si="0"/>
        <v>29</v>
      </c>
      <c r="D30" t="str">
        <f t="shared" si="1"/>
        <v>Conditional</v>
      </c>
      <c r="E30">
        <f>MAX('Normalized Data'!B13:M13)</f>
        <v>1</v>
      </c>
      <c r="F30">
        <f>MIN('Normalized Data'!B13:M13)</f>
        <v>0</v>
      </c>
      <c r="G30" t="str">
        <f>INDEX(Weights!$A$2:$A$13,MATCH(MAX('Normalized Data'!B13:M13),'Normalized Data'!B13:M13,0))</f>
        <v>conditions and method of payment</v>
      </c>
      <c r="H30" t="str">
        <f>INDEX(Weights!$A$2:$A$13,MATCH(MIN('Normalized Data'!B13:M13),'Normalized Data'!B13:M13,0))</f>
        <v>quality</v>
      </c>
    </row>
    <row r="31" spans="1:8" x14ac:dyDescent="0.3">
      <c r="A31">
        <f>'Normalized Data'!A31</f>
        <v>30</v>
      </c>
      <c r="B31" cm="1">
        <f t="array" ref="B31">SUMPRODUCT('Normalized Data'!B31:M31,TRANSPOSE(Weights!$B$2:$B$13))</f>
        <v>0.34373983739837394</v>
      </c>
      <c r="C31">
        <f t="shared" si="0"/>
        <v>30</v>
      </c>
      <c r="D31" t="str">
        <f t="shared" si="1"/>
        <v>Conditional</v>
      </c>
      <c r="E31">
        <f>MAX('Normalized Data'!B31:M31)</f>
        <v>0.70731707317073167</v>
      </c>
      <c r="F31">
        <f>MIN('Normalized Data'!B31:M31)</f>
        <v>0</v>
      </c>
      <c r="G31" t="str">
        <f>INDEX(Weights!$A$2:$A$13,MATCH(MAX('Normalized Data'!B31:M31),'Normalized Data'!B31:M31,0))</f>
        <v>location and traffic</v>
      </c>
      <c r="H31" t="str">
        <f>INDEX(Weights!$A$2:$A$13,MATCH(MIN('Normalized Data'!B31:M31),'Normalized Data'!B31:M31,0))</f>
        <v>conditions and method of payment</v>
      </c>
    </row>
    <row r="32" spans="1:8" x14ac:dyDescent="0.3">
      <c r="A32">
        <f>'Normalized Data'!A6</f>
        <v>5</v>
      </c>
      <c r="B32" cm="1">
        <f t="array" ref="B32">SUMPRODUCT('Normalized Data'!B6:M6,TRANSPOSE(Weights!$B$2:$B$13))</f>
        <v>0.3256910569105691</v>
      </c>
      <c r="C32">
        <f t="shared" si="0"/>
        <v>31</v>
      </c>
      <c r="D32" t="str">
        <f t="shared" si="1"/>
        <v>Conditional</v>
      </c>
      <c r="E32">
        <f>MAX('Normalized Data'!B6:M6)</f>
        <v>0.90243902439024393</v>
      </c>
      <c r="F32">
        <f>MIN('Normalized Data'!B6:M6)</f>
        <v>0</v>
      </c>
      <c r="G32" t="str">
        <f>INDEX(Weights!$A$2:$A$13,MATCH(MAX('Normalized Data'!B6:M6),'Normalized Data'!B6:M6,0))</f>
        <v>location and traffic</v>
      </c>
      <c r="H32" t="str">
        <f>INDEX(Weights!$A$2:$A$13,MATCH(MIN('Normalized Data'!B6:M6),'Normalized Data'!B6:M6,0))</f>
        <v>flexibility</v>
      </c>
    </row>
    <row r="33" spans="1:8" x14ac:dyDescent="0.3">
      <c r="A33">
        <f>'Normalized Data'!A32</f>
        <v>31</v>
      </c>
      <c r="B33" cm="1">
        <f t="array" ref="B33">SUMPRODUCT('Normalized Data'!B32:M32,TRANSPOSE(Weights!$B$2:$B$13))</f>
        <v>0.30734959349593494</v>
      </c>
      <c r="C33">
        <f t="shared" si="0"/>
        <v>32</v>
      </c>
      <c r="D33" t="str">
        <f t="shared" si="1"/>
        <v>Conditional</v>
      </c>
      <c r="E33">
        <f>MAX('Normalized Data'!B32:M32)</f>
        <v>1</v>
      </c>
      <c r="F33">
        <f>MIN('Normalized Data'!B32:M32)</f>
        <v>0</v>
      </c>
      <c r="G33" t="str">
        <f>INDEX(Weights!$A$2:$A$13,MATCH(MAX('Normalized Data'!B32:M32),'Normalized Data'!B32:M32,0))</f>
        <v>price</v>
      </c>
      <c r="H33" t="str">
        <f>INDEX(Weights!$A$2:$A$13,MATCH(MIN('Normalized Data'!B32:M32),'Normalized Data'!B32:M32,0))</f>
        <v>quality</v>
      </c>
    </row>
    <row r="34" spans="1:8" x14ac:dyDescent="0.3">
      <c r="A34">
        <f>'Normalized Data'!A33</f>
        <v>32</v>
      </c>
      <c r="B34" cm="1">
        <f t="array" ref="B34">SUMPRODUCT('Normalized Data'!B33:M33,TRANSPOSE(Weights!$B$2:$B$13))</f>
        <v>0.29533333333333334</v>
      </c>
      <c r="C34">
        <f t="shared" si="0"/>
        <v>33</v>
      </c>
      <c r="D34" t="str">
        <f t="shared" si="1"/>
        <v>Conditional</v>
      </c>
      <c r="E34">
        <f>MAX('Normalized Data'!B33:M33)</f>
        <v>1</v>
      </c>
      <c r="F34">
        <f>MIN('Normalized Data'!B33:M33)</f>
        <v>0</v>
      </c>
      <c r="G34" t="str">
        <f>INDEX(Weights!$A$2:$A$13,MATCH(MAX('Normalized Data'!B33:M33),'Normalized Data'!B33:M33,0))</f>
        <v>location and traffic</v>
      </c>
      <c r="H34" t="str">
        <f>INDEX(Weights!$A$2:$A$13,MATCH(MIN('Normalized Data'!B33:M33),'Normalized Data'!B33:M33,0))</f>
        <v>reputation and competence</v>
      </c>
    </row>
    <row r="35" spans="1:8" x14ac:dyDescent="0.3">
      <c r="A35">
        <f>'Normalized Data'!A8</f>
        <v>7</v>
      </c>
      <c r="B35" cm="1">
        <f t="array" ref="B35">SUMPRODUCT('Normalized Data'!B8:M8,TRANSPOSE(Weights!$B$2:$B$13))</f>
        <v>0.2797073170731707</v>
      </c>
      <c r="C35">
        <f t="shared" si="0"/>
        <v>34</v>
      </c>
      <c r="D35" t="str">
        <f t="shared" si="1"/>
        <v>Conditional</v>
      </c>
      <c r="E35">
        <f>MAX('Normalized Data'!B8:M8)</f>
        <v>0.77073170731707319</v>
      </c>
      <c r="F35">
        <f>MIN('Normalized Data'!B8:M8)</f>
        <v>0</v>
      </c>
      <c r="G35" t="str">
        <f>INDEX(Weights!$A$2:$A$13,MATCH(MAX('Normalized Data'!B8:M8),'Normalized Data'!B8:M8,0))</f>
        <v>location and traffic</v>
      </c>
      <c r="H35" t="str">
        <f>INDEX(Weights!$A$2:$A$13,MATCH(MIN('Normalized Data'!B8:M8),'Normalized Data'!B8:M8,0))</f>
        <v>conditions and method of payment</v>
      </c>
    </row>
    <row r="36" spans="1:8" x14ac:dyDescent="0.3">
      <c r="A36">
        <f>'Normalized Data'!A3</f>
        <v>2</v>
      </c>
      <c r="B36" cm="1">
        <f t="array" ref="B36">SUMPRODUCT('Normalized Data'!B3:M3,TRANSPOSE(Weights!$B$2:$B$13))</f>
        <v>0.24980487804878054</v>
      </c>
      <c r="C36">
        <f t="shared" si="0"/>
        <v>35</v>
      </c>
      <c r="D36" t="str">
        <f t="shared" si="1"/>
        <v>Conditional</v>
      </c>
      <c r="E36">
        <f>MAX('Normalized Data'!B3:M3)</f>
        <v>0.78048780487804881</v>
      </c>
      <c r="F36">
        <f>MIN('Normalized Data'!B3:M3)</f>
        <v>0</v>
      </c>
      <c r="G36" t="str">
        <f>INDEX(Weights!$A$2:$A$13,MATCH(MAX('Normalized Data'!B3:M3),'Normalized Data'!B3:M3,0))</f>
        <v>location and traffic</v>
      </c>
      <c r="H36" t="str">
        <f>INDEX(Weights!$A$2:$A$13,MATCH(MIN('Normalized Data'!B3:M3),'Normalized Data'!B3:M3,0))</f>
        <v>quality</v>
      </c>
    </row>
  </sheetData>
  <autoFilter ref="A1:H36" xr:uid="{CC01A798-084D-4980-BF79-F07EF4236524}">
    <sortState xmlns:xlrd2="http://schemas.microsoft.com/office/spreadsheetml/2017/richdata2" ref="A2:H36">
      <sortCondition ref="C1:C3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2E0-4631-4C31-8339-005972E52085}">
  <dimension ref="B2:M35"/>
  <sheetViews>
    <sheetView tabSelected="1" topLeftCell="A17" zoomScale="85" zoomScaleNormal="85" workbookViewId="0">
      <selection activeCell="B35" sqref="B35:M35"/>
    </sheetView>
  </sheetViews>
  <sheetFormatPr defaultRowHeight="14.4" x14ac:dyDescent="0.3"/>
  <cols>
    <col min="1" max="1" width="2.21875" customWidth="1"/>
    <col min="2" max="13" width="13.33203125" customWidth="1"/>
    <col min="14" max="14" width="2.21875" customWidth="1"/>
  </cols>
  <sheetData>
    <row r="2" spans="2:13" ht="21" x14ac:dyDescent="0.4">
      <c r="B2" s="17" t="s">
        <v>38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2:13" ht="15.6" x14ac:dyDescent="0.3">
      <c r="B3" s="20" t="s">
        <v>39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5" spans="2:13" x14ac:dyDescent="0.3">
      <c r="B5" s="13" t="s">
        <v>40</v>
      </c>
      <c r="C5" s="13"/>
      <c r="D5" s="13"/>
      <c r="E5" s="13" t="s">
        <v>42</v>
      </c>
      <c r="F5" s="13"/>
      <c r="G5" s="13"/>
      <c r="H5" s="13" t="s">
        <v>44</v>
      </c>
      <c r="I5" s="13"/>
      <c r="J5" s="13"/>
      <c r="K5" s="13" t="s">
        <v>46</v>
      </c>
      <c r="L5" s="13"/>
      <c r="M5" s="13"/>
    </row>
    <row r="6" spans="2:13" x14ac:dyDescent="0.3">
      <c r="B6" s="18">
        <f>COUNTA(Scoring!$A$2:$A$36)</f>
        <v>35</v>
      </c>
      <c r="C6" s="18"/>
      <c r="D6" s="18"/>
      <c r="E6" s="18">
        <f>COUNTIF(Scoring!$D$2:$D$36,"Preferred")</f>
        <v>7</v>
      </c>
      <c r="F6" s="18"/>
      <c r="G6" s="18"/>
      <c r="H6" s="18">
        <f>COUNTIF(Scoring!$D$2:$D$36,"Approved")</f>
        <v>14</v>
      </c>
      <c r="I6" s="18"/>
      <c r="J6" s="18"/>
      <c r="K6" s="18">
        <f>COUNTIF(Scoring!$D$2:$D$36,"Conditional")</f>
        <v>14</v>
      </c>
      <c r="L6" s="18"/>
      <c r="M6" s="18"/>
    </row>
    <row r="7" spans="2:13" x14ac:dyDescent="0.3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2:13" x14ac:dyDescent="0.3">
      <c r="B8" s="19" t="s">
        <v>41</v>
      </c>
      <c r="C8" s="19"/>
      <c r="D8" s="19"/>
      <c r="E8" s="19" t="s">
        <v>43</v>
      </c>
      <c r="F8" s="19"/>
      <c r="G8" s="19"/>
      <c r="H8" s="19" t="s">
        <v>45</v>
      </c>
      <c r="I8" s="19"/>
      <c r="J8" s="19"/>
      <c r="K8" s="19" t="s">
        <v>47</v>
      </c>
      <c r="L8" s="19"/>
      <c r="M8" s="19"/>
    </row>
    <row r="10" spans="2:13" ht="21" x14ac:dyDescent="0.4">
      <c r="B10" s="17" t="s">
        <v>56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2:13" x14ac:dyDescent="0.3">
      <c r="B11" s="13" t="s">
        <v>33</v>
      </c>
      <c r="C11" s="13"/>
      <c r="D11" s="13"/>
      <c r="E11" s="13"/>
      <c r="F11" s="13"/>
      <c r="G11" s="13" t="s">
        <v>52</v>
      </c>
      <c r="H11" s="13"/>
      <c r="I11" s="13"/>
      <c r="J11" s="13" t="s">
        <v>53</v>
      </c>
      <c r="K11" s="13"/>
      <c r="L11" s="13"/>
      <c r="M11" s="13"/>
    </row>
    <row r="12" spans="2:13" x14ac:dyDescent="0.3">
      <c r="B12" s="11" t="str">
        <f>Weights!A2</f>
        <v>quality</v>
      </c>
      <c r="C12" s="11"/>
      <c r="D12" s="11"/>
      <c r="E12" s="11"/>
      <c r="F12" s="11"/>
      <c r="G12" s="12">
        <f ca="1">AVERAGE(OFFSET('Normalized Data'!$B$2:$B$36,0,ROW()-12))</f>
        <v>0.45714285714285713</v>
      </c>
      <c r="H12" s="12"/>
      <c r="I12" s="12"/>
      <c r="J12" s="11" t="str">
        <f t="shared" ref="J12:J23" ca="1" si="0">IF(G12&gt;=0.7,"Strong",IF(G12&gt;=0.4,"Moderate","Weak"))</f>
        <v>Moderate</v>
      </c>
      <c r="K12" s="11"/>
      <c r="L12" s="11"/>
      <c r="M12" s="11"/>
    </row>
    <row r="13" spans="2:13" x14ac:dyDescent="0.3">
      <c r="B13" s="11" t="str">
        <f>Weights!A3</f>
        <v>quantity</v>
      </c>
      <c r="C13" s="11"/>
      <c r="D13" s="11"/>
      <c r="E13" s="11"/>
      <c r="F13" s="11"/>
      <c r="G13" s="12">
        <f ca="1">AVERAGE(OFFSET('Normalized Data'!$B$2:$B$36,0,ROW()-12))</f>
        <v>0.31199999999999994</v>
      </c>
      <c r="H13" s="12"/>
      <c r="I13" s="12"/>
      <c r="J13" s="11" t="str">
        <f t="shared" ca="1" si="0"/>
        <v>Weak</v>
      </c>
      <c r="K13" s="11"/>
      <c r="L13" s="11"/>
      <c r="M13" s="11"/>
    </row>
    <row r="14" spans="2:13" x14ac:dyDescent="0.3">
      <c r="B14" s="11" t="str">
        <f>Weights!A4</f>
        <v>conditions and method of payment</v>
      </c>
      <c r="C14" s="11"/>
      <c r="D14" s="11"/>
      <c r="E14" s="11"/>
      <c r="F14" s="11"/>
      <c r="G14" s="12">
        <f ca="1">AVERAGE(OFFSET('Normalized Data'!$B$2:$B$36,0,ROW()-12))</f>
        <v>0.47857142857142859</v>
      </c>
      <c r="H14" s="12"/>
      <c r="I14" s="12"/>
      <c r="J14" s="11" t="str">
        <f t="shared" ca="1" si="0"/>
        <v>Moderate</v>
      </c>
      <c r="K14" s="11"/>
      <c r="L14" s="11"/>
      <c r="M14" s="11"/>
    </row>
    <row r="15" spans="2:13" x14ac:dyDescent="0.3">
      <c r="B15" s="11" t="str">
        <f>Weights!A5</f>
        <v>serviceability and communicativeness</v>
      </c>
      <c r="C15" s="11"/>
      <c r="D15" s="11"/>
      <c r="E15" s="11"/>
      <c r="F15" s="11"/>
      <c r="G15" s="12">
        <f ca="1">AVERAGE(OFFSET('Normalized Data'!$B$2:$B$36,0,ROW()-12))</f>
        <v>0.4904761904761904</v>
      </c>
      <c r="H15" s="12"/>
      <c r="I15" s="12"/>
      <c r="J15" s="11" t="str">
        <f t="shared" ca="1" si="0"/>
        <v>Moderate</v>
      </c>
      <c r="K15" s="11"/>
      <c r="L15" s="11"/>
      <c r="M15" s="11"/>
    </row>
    <row r="16" spans="2:13" x14ac:dyDescent="0.3">
      <c r="B16" s="11" t="str">
        <f>Weights!A6</f>
        <v>reputation and competence</v>
      </c>
      <c r="C16" s="11"/>
      <c r="D16" s="11"/>
      <c r="E16" s="11"/>
      <c r="F16" s="11"/>
      <c r="G16" s="12">
        <f ca="1">AVERAGE(OFFSET('Normalized Data'!$B$2:$B$36,0,ROW()-12))</f>
        <v>0.43428571428571422</v>
      </c>
      <c r="H16" s="12"/>
      <c r="I16" s="12"/>
      <c r="J16" s="11" t="str">
        <f t="shared" ca="1" si="0"/>
        <v>Moderate</v>
      </c>
      <c r="K16" s="11"/>
      <c r="L16" s="11"/>
      <c r="M16" s="11"/>
    </row>
    <row r="17" spans="2:13" x14ac:dyDescent="0.3">
      <c r="B17" s="11" t="str">
        <f>Weights!A7</f>
        <v>flexibility</v>
      </c>
      <c r="C17" s="11"/>
      <c r="D17" s="11"/>
      <c r="E17" s="11"/>
      <c r="F17" s="11"/>
      <c r="G17" s="12">
        <f ca="1">AVERAGE(OFFSET('Normalized Data'!$B$2:$B$36,0,ROW()-12))</f>
        <v>0.46666666666666662</v>
      </c>
      <c r="H17" s="12"/>
      <c r="I17" s="12"/>
      <c r="J17" s="11" t="str">
        <f t="shared" ca="1" si="0"/>
        <v>Moderate</v>
      </c>
      <c r="K17" s="11"/>
      <c r="L17" s="11"/>
      <c r="M17" s="11"/>
    </row>
    <row r="18" spans="2:13" x14ac:dyDescent="0.3">
      <c r="B18" s="11" t="str">
        <f>Weights!A8</f>
        <v>financial condition</v>
      </c>
      <c r="C18" s="11"/>
      <c r="D18" s="11"/>
      <c r="E18" s="11"/>
      <c r="F18" s="11"/>
      <c r="G18" s="12">
        <f ca="1">AVERAGE(OFFSET('Normalized Data'!$B$2:$B$36,0,ROW()-12))</f>
        <v>0.47142857142857142</v>
      </c>
      <c r="H18" s="12"/>
      <c r="I18" s="12"/>
      <c r="J18" s="11" t="str">
        <f t="shared" ca="1" si="0"/>
        <v>Moderate</v>
      </c>
      <c r="K18" s="11"/>
      <c r="L18" s="11"/>
      <c r="M18" s="11"/>
    </row>
    <row r="19" spans="2:13" x14ac:dyDescent="0.3">
      <c r="B19" s="11" t="str">
        <f>Weights!A9</f>
        <v>condition of assets</v>
      </c>
      <c r="C19" s="11"/>
      <c r="D19" s="11"/>
      <c r="E19" s="11"/>
      <c r="F19" s="11"/>
      <c r="G19" s="12">
        <f ca="1">AVERAGE(OFFSET('Normalized Data'!$B$2:$B$36,0,ROW()-12))</f>
        <v>0.54285714285714282</v>
      </c>
      <c r="H19" s="12"/>
      <c r="I19" s="12"/>
      <c r="J19" s="11" t="str">
        <f t="shared" ca="1" si="0"/>
        <v>Moderate</v>
      </c>
      <c r="K19" s="11"/>
      <c r="L19" s="11"/>
      <c r="M19" s="11"/>
    </row>
    <row r="20" spans="2:13" x14ac:dyDescent="0.3">
      <c r="B20" s="11" t="str">
        <f>Weights!A10</f>
        <v>business results and employees</v>
      </c>
      <c r="C20" s="11"/>
      <c r="D20" s="11"/>
      <c r="E20" s="11"/>
      <c r="F20" s="11"/>
      <c r="G20" s="12">
        <f ca="1">AVERAGE(OFFSET('Normalized Data'!$B$2:$B$36,0,ROW()-12))</f>
        <v>0.43999999999999995</v>
      </c>
      <c r="H20" s="12"/>
      <c r="I20" s="12"/>
      <c r="J20" s="11" t="str">
        <f t="shared" ca="1" si="0"/>
        <v>Moderate</v>
      </c>
      <c r="K20" s="11"/>
      <c r="L20" s="11"/>
      <c r="M20" s="11"/>
    </row>
    <row r="21" spans="2:13" x14ac:dyDescent="0.3">
      <c r="B21" s="11" t="str">
        <f>Weights!A11</f>
        <v>price</v>
      </c>
      <c r="C21" s="11"/>
      <c r="D21" s="11"/>
      <c r="E21" s="11"/>
      <c r="F21" s="11"/>
      <c r="G21" s="12">
        <f ca="1">AVERAGE(OFFSET('Normalized Data'!$B$2:$B$36,0,ROW()-12))</f>
        <v>0.53714285714285726</v>
      </c>
      <c r="H21" s="12"/>
      <c r="I21" s="12"/>
      <c r="J21" s="11" t="str">
        <f t="shared" ca="1" si="0"/>
        <v>Moderate</v>
      </c>
      <c r="K21" s="11"/>
      <c r="L21" s="11"/>
      <c r="M21" s="11"/>
    </row>
    <row r="22" spans="2:13" x14ac:dyDescent="0.3">
      <c r="B22" s="11" t="str">
        <f>Weights!A12</f>
        <v>delivery time</v>
      </c>
      <c r="C22" s="11"/>
      <c r="D22" s="11"/>
      <c r="E22" s="11"/>
      <c r="F22" s="11"/>
      <c r="G22" s="12">
        <f ca="1">AVERAGE(OFFSET('Normalized Data'!$B$2:$B$36,0,ROW()-12))</f>
        <v>0.45714285714285713</v>
      </c>
      <c r="H22" s="12"/>
      <c r="I22" s="12"/>
      <c r="J22" s="11" t="str">
        <f t="shared" ca="1" si="0"/>
        <v>Moderate</v>
      </c>
      <c r="K22" s="11"/>
      <c r="L22" s="11"/>
      <c r="M22" s="11"/>
    </row>
    <row r="23" spans="2:13" x14ac:dyDescent="0.3">
      <c r="B23" s="11" t="str">
        <f>Weights!A13</f>
        <v>location and traffic</v>
      </c>
      <c r="C23" s="11"/>
      <c r="D23" s="11"/>
      <c r="E23" s="11"/>
      <c r="F23" s="11"/>
      <c r="G23" s="12">
        <f ca="1">AVERAGE(OFFSET('Normalized Data'!$B$2:$B$36,0,ROW()-12))</f>
        <v>0.75958188153310113</v>
      </c>
      <c r="H23" s="12"/>
      <c r="I23" s="12"/>
      <c r="J23" s="11" t="str">
        <f t="shared" ca="1" si="0"/>
        <v>Strong</v>
      </c>
      <c r="K23" s="11"/>
      <c r="L23" s="11"/>
      <c r="M23" s="11"/>
    </row>
    <row r="25" spans="2:13" ht="21" x14ac:dyDescent="0.4">
      <c r="B25" s="17" t="s">
        <v>58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2:13" x14ac:dyDescent="0.3">
      <c r="B26" s="13" t="str">
        <f>Scoring!A1</f>
        <v>Supplier ID</v>
      </c>
      <c r="C26" s="13"/>
      <c r="D26" s="8" t="s">
        <v>54</v>
      </c>
      <c r="E26" s="13" t="s">
        <v>57</v>
      </c>
      <c r="F26" s="13"/>
      <c r="G26" s="13"/>
      <c r="H26" s="8" t="s">
        <v>54</v>
      </c>
      <c r="I26" s="13" t="s">
        <v>55</v>
      </c>
      <c r="J26" s="13"/>
      <c r="K26" s="13"/>
      <c r="L26" s="13" t="s">
        <v>54</v>
      </c>
      <c r="M26" s="13"/>
    </row>
    <row r="27" spans="2:13" x14ac:dyDescent="0.3">
      <c r="B27" s="14">
        <f>INDEX(Scoring!$A$2:$A$36,MATCH(1,Scoring!$C$2:$C$36,0))</f>
        <v>9</v>
      </c>
      <c r="C27" s="14"/>
      <c r="D27" s="10">
        <f>VLOOKUP(B27, Scoring!A2:B36, 2, FALSE)</f>
        <v>0.70421138211382117</v>
      </c>
      <c r="E27" s="11" t="str">
        <f>VLOOKUP(B27, Scoring!A2:H36, 7, FALSE)</f>
        <v>quality</v>
      </c>
      <c r="F27" s="11"/>
      <c r="G27" s="11"/>
      <c r="H27" s="9">
        <f>VLOOKUP(B27, Scoring!A2:H36, 5, FALSE)</f>
        <v>1</v>
      </c>
      <c r="I27" s="11" t="str">
        <f>VLOOKUP(B27, Scoring!A2:H36, 8, FALSE)</f>
        <v>business results and employees</v>
      </c>
      <c r="J27" s="11"/>
      <c r="K27" s="11"/>
      <c r="L27" s="12">
        <f>VLOOKUP(B27, Scoring!A2:H36, 6, FALSE)</f>
        <v>0.2</v>
      </c>
      <c r="M27" s="12"/>
    </row>
    <row r="28" spans="2:13" x14ac:dyDescent="0.3">
      <c r="B28" s="15">
        <f>INDEX(Scoring!$A$2:$A$36,MATCH(2,Scoring!$C$2:$C$36,0))</f>
        <v>24</v>
      </c>
      <c r="C28" s="16"/>
      <c r="D28" s="10">
        <f>VLOOKUP(B28, Scoring!A3:B37, 2, FALSE)</f>
        <v>0.68053658536585371</v>
      </c>
      <c r="E28" s="11" t="str">
        <f>VLOOKUP(B28, Scoring!A3:H37, 7, FALSE)</f>
        <v>reputation and competence</v>
      </c>
      <c r="F28" s="11"/>
      <c r="G28" s="11"/>
      <c r="H28" s="9">
        <f>VLOOKUP(B28, Scoring!A3:H37, 5, FALSE)</f>
        <v>1</v>
      </c>
      <c r="I28" s="11" t="str">
        <f>VLOOKUP(B28, Scoring!A3:H37, 8, FALSE)</f>
        <v>quantity</v>
      </c>
      <c r="J28" s="11"/>
      <c r="K28" s="11"/>
      <c r="L28" s="12">
        <f>VLOOKUP(B28, Scoring!A3:H37, 6, FALSE)</f>
        <v>0.30666666666666664</v>
      </c>
      <c r="M28" s="12"/>
    </row>
    <row r="29" spans="2:13" x14ac:dyDescent="0.3">
      <c r="B29" s="15">
        <f>INDEX(Scoring!$A$2:$A$36,MATCH(3,Scoring!$C$2:$C$36,0))</f>
        <v>14</v>
      </c>
      <c r="C29" s="16"/>
      <c r="D29" s="10">
        <f>VLOOKUP(B29, Scoring!A4:B38, 2, FALSE)</f>
        <v>0.65834146341463418</v>
      </c>
      <c r="E29" s="11" t="str">
        <f>VLOOKUP(B29, Scoring!A4:H38, 7, FALSE)</f>
        <v>conditions and method of payment</v>
      </c>
      <c r="F29" s="11"/>
      <c r="G29" s="11"/>
      <c r="H29" s="9">
        <f>VLOOKUP(B29, Scoring!A4:H38, 5, FALSE)</f>
        <v>1</v>
      </c>
      <c r="I29" s="11" t="str">
        <f>VLOOKUP(B29, Scoring!A4:H38, 8, FALSE)</f>
        <v>quantity</v>
      </c>
      <c r="J29" s="11"/>
      <c r="K29" s="11"/>
      <c r="L29" s="12">
        <f>VLOOKUP(B29, Scoring!A4:H38, 6, FALSE)</f>
        <v>0.44</v>
      </c>
      <c r="M29" s="12"/>
    </row>
    <row r="30" spans="2:13" x14ac:dyDescent="0.3">
      <c r="B30" s="15">
        <f>INDEX(Scoring!$A$2:$A$36,MATCH(4,Scoring!$C$2:$C$36,0))</f>
        <v>27</v>
      </c>
      <c r="C30" s="16"/>
      <c r="D30" s="10">
        <f>VLOOKUP(B30, Scoring!A5:B39, 2, FALSE)</f>
        <v>0.62347967479674804</v>
      </c>
      <c r="E30" s="11" t="str">
        <f>VLOOKUP(B30, Scoring!A5:H39, 7, FALSE)</f>
        <v>serviceability and communicativeness</v>
      </c>
      <c r="F30" s="11"/>
      <c r="G30" s="11"/>
      <c r="H30" s="9">
        <f>VLOOKUP(B30, Scoring!A5:H39, 5, FALSE)</f>
        <v>1</v>
      </c>
      <c r="I30" s="11" t="str">
        <f>VLOOKUP(B30, Scoring!A5:H39, 8, FALSE)</f>
        <v>quality</v>
      </c>
      <c r="J30" s="11"/>
      <c r="K30" s="11"/>
      <c r="L30" s="12">
        <f>VLOOKUP(B30, Scoring!A5:H39, 6, FALSE)</f>
        <v>0.33333333333333331</v>
      </c>
      <c r="M30" s="12"/>
    </row>
    <row r="31" spans="2:13" x14ac:dyDescent="0.3">
      <c r="B31" s="15">
        <f>INDEX(Scoring!$A$2:$A$36,MATCH(5,Scoring!$C$2:$C$36,0))</f>
        <v>25</v>
      </c>
      <c r="C31" s="16"/>
      <c r="D31" s="10">
        <f>VLOOKUP(B31, Scoring!A6:B40, 2, FALSE)</f>
        <v>0.61860162601626023</v>
      </c>
      <c r="E31" s="11" t="str">
        <f>VLOOKUP(B31, Scoring!A6:H40, 7, FALSE)</f>
        <v>reputation and competence</v>
      </c>
      <c r="F31" s="11"/>
      <c r="G31" s="11"/>
      <c r="H31" s="9">
        <f>VLOOKUP(B31, Scoring!A6:H40, 5, FALSE)</f>
        <v>1</v>
      </c>
      <c r="I31" s="11" t="str">
        <f>VLOOKUP(B31, Scoring!A6:H40, 8, FALSE)</f>
        <v>quality</v>
      </c>
      <c r="J31" s="11"/>
      <c r="K31" s="11"/>
      <c r="L31" s="12">
        <f>VLOOKUP(B31, Scoring!A6:H40, 6, FALSE)</f>
        <v>0</v>
      </c>
      <c r="M31" s="12"/>
    </row>
    <row r="32" spans="2:13" x14ac:dyDescent="0.3">
      <c r="B32" s="15">
        <f>INDEX(Scoring!$A$2:$A$36,MATCH(6,Scoring!$C$2:$C$36,0))</f>
        <v>13</v>
      </c>
      <c r="C32" s="16"/>
      <c r="D32" s="10">
        <f>VLOOKUP(B32, Scoring!A7:B41, 2, FALSE)</f>
        <v>0.6014959349593495</v>
      </c>
      <c r="E32" s="11" t="str">
        <f>VLOOKUP(B32, Scoring!A7:H41, 7, FALSE)</f>
        <v>conditions and method of payment</v>
      </c>
      <c r="F32" s="11"/>
      <c r="G32" s="11"/>
      <c r="H32" s="9">
        <f>VLOOKUP(B32, Scoring!A7:H41, 5, FALSE)</f>
        <v>1</v>
      </c>
      <c r="I32" s="11" t="str">
        <f>VLOOKUP(B32, Scoring!A7:H41, 8, FALSE)</f>
        <v>quantity</v>
      </c>
      <c r="J32" s="11"/>
      <c r="K32" s="11"/>
      <c r="L32" s="12">
        <f>VLOOKUP(B32, Scoring!A7:H41, 6, FALSE)</f>
        <v>9.3333333333333338E-2</v>
      </c>
      <c r="M32" s="12"/>
    </row>
    <row r="33" spans="2:13" x14ac:dyDescent="0.3">
      <c r="B33" s="15">
        <f>INDEX(Scoring!$A$2:$A$36,MATCH(7,Scoring!$C$2:$C$36,0))</f>
        <v>16</v>
      </c>
      <c r="C33" s="16"/>
      <c r="D33" s="10">
        <f>VLOOKUP(B33, Scoring!A8:B42, 2, FALSE)</f>
        <v>0.59533333333333327</v>
      </c>
      <c r="E33" s="11" t="str">
        <f>VLOOKUP(B33, Scoring!A8:H42, 7, FALSE)</f>
        <v>quality</v>
      </c>
      <c r="F33" s="11"/>
      <c r="G33" s="11"/>
      <c r="H33" s="9">
        <f>VLOOKUP(B33, Scoring!A8:H42, 5, FALSE)</f>
        <v>1</v>
      </c>
      <c r="I33" s="11" t="str">
        <f>VLOOKUP(B33, Scoring!A8:H42, 8, FALSE)</f>
        <v>location and traffic</v>
      </c>
      <c r="J33" s="11"/>
      <c r="K33" s="11"/>
      <c r="L33" s="12">
        <f>VLOOKUP(B33, Scoring!A8:H42, 6, FALSE)</f>
        <v>0</v>
      </c>
      <c r="M33" s="12"/>
    </row>
    <row r="35" spans="2:13" x14ac:dyDescent="0.3">
      <c r="B35" s="21" t="s">
        <v>59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</sheetData>
  <mergeCells count="88">
    <mergeCell ref="B35:M35"/>
    <mergeCell ref="B2:M2"/>
    <mergeCell ref="B3:M3"/>
    <mergeCell ref="B5:D5"/>
    <mergeCell ref="E5:G5"/>
    <mergeCell ref="H5:J5"/>
    <mergeCell ref="K5:M5"/>
    <mergeCell ref="B10:M10"/>
    <mergeCell ref="B6:D7"/>
    <mergeCell ref="E6:G7"/>
    <mergeCell ref="H6:J7"/>
    <mergeCell ref="K6:M7"/>
    <mergeCell ref="B8:D8"/>
    <mergeCell ref="E8:G8"/>
    <mergeCell ref="H8:J8"/>
    <mergeCell ref="K8:M8"/>
    <mergeCell ref="B22:F22"/>
    <mergeCell ref="B23:F23"/>
    <mergeCell ref="B18:F18"/>
    <mergeCell ref="B19:F19"/>
    <mergeCell ref="G18:I18"/>
    <mergeCell ref="G19:I19"/>
    <mergeCell ref="B33:C33"/>
    <mergeCell ref="I32:K32"/>
    <mergeCell ref="I33:K33"/>
    <mergeCell ref="I26:K26"/>
    <mergeCell ref="I27:K27"/>
    <mergeCell ref="I28:K28"/>
    <mergeCell ref="I29:K29"/>
    <mergeCell ref="I30:K30"/>
    <mergeCell ref="I31:K31"/>
    <mergeCell ref="E28:G28"/>
    <mergeCell ref="E29:G29"/>
    <mergeCell ref="E30:G30"/>
    <mergeCell ref="E31:G31"/>
    <mergeCell ref="E26:G26"/>
    <mergeCell ref="E27:G27"/>
    <mergeCell ref="E33:G33"/>
    <mergeCell ref="L33:M33"/>
    <mergeCell ref="L26:M26"/>
    <mergeCell ref="L27:M27"/>
    <mergeCell ref="L28:M28"/>
    <mergeCell ref="L29:M29"/>
    <mergeCell ref="L30:M30"/>
    <mergeCell ref="L31:M31"/>
    <mergeCell ref="B14:F14"/>
    <mergeCell ref="B15:F15"/>
    <mergeCell ref="B16:F16"/>
    <mergeCell ref="B17:F17"/>
    <mergeCell ref="L32:M32"/>
    <mergeCell ref="B26:C26"/>
    <mergeCell ref="B27:C27"/>
    <mergeCell ref="B28:C28"/>
    <mergeCell ref="B29:C29"/>
    <mergeCell ref="B30:C30"/>
    <mergeCell ref="B31:C31"/>
    <mergeCell ref="B32:C32"/>
    <mergeCell ref="E32:G32"/>
    <mergeCell ref="B25:M25"/>
    <mergeCell ref="B20:F20"/>
    <mergeCell ref="B21:F21"/>
    <mergeCell ref="B11:F11"/>
    <mergeCell ref="G11:I11"/>
    <mergeCell ref="J11:M11"/>
    <mergeCell ref="B12:F12"/>
    <mergeCell ref="B13:F13"/>
    <mergeCell ref="J17:M17"/>
    <mergeCell ref="G12:I12"/>
    <mergeCell ref="G13:I13"/>
    <mergeCell ref="G14:I14"/>
    <mergeCell ref="G15:I15"/>
    <mergeCell ref="G16:I16"/>
    <mergeCell ref="G17:I17"/>
    <mergeCell ref="J12:M12"/>
    <mergeCell ref="J13:M13"/>
    <mergeCell ref="J14:M14"/>
    <mergeCell ref="J15:M15"/>
    <mergeCell ref="J16:M16"/>
    <mergeCell ref="J23:M23"/>
    <mergeCell ref="G20:I20"/>
    <mergeCell ref="G21:I21"/>
    <mergeCell ref="G22:I22"/>
    <mergeCell ref="G23:I23"/>
    <mergeCell ref="J18:M18"/>
    <mergeCell ref="J19:M19"/>
    <mergeCell ref="J20:M20"/>
    <mergeCell ref="J21:M21"/>
    <mergeCell ref="J22:M22"/>
  </mergeCells>
  <conditionalFormatting sqref="J12:J23">
    <cfRule type="cellIs" dxfId="2" priority="1" operator="equal">
      <formula>"Weak"</formula>
    </cfRule>
    <cfRule type="cellIs" dxfId="1" priority="2" operator="equal">
      <formula>"Moderate"</formula>
    </cfRule>
    <cfRule type="cellIs" dxfId="0" priority="3" operator="equal">
      <formula>"Strong"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- Suppliers</vt:lpstr>
      <vt:lpstr>Normalized Data</vt:lpstr>
      <vt:lpstr>Weights</vt:lpstr>
      <vt:lpstr>Scoring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</dc:creator>
  <cp:lastModifiedBy>Gustavo Inciarte</cp:lastModifiedBy>
  <dcterms:created xsi:type="dcterms:W3CDTF">2022-10-23T18:46:44Z</dcterms:created>
  <dcterms:modified xsi:type="dcterms:W3CDTF">2026-03-23T23:17:03Z</dcterms:modified>
</cp:coreProperties>
</file>